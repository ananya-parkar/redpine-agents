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mpanies_DB" sheetId="2" state="visible" r:id="rId2"/>
    <sheet xmlns:r="http://schemas.openxmlformats.org/officeDocument/2006/relationships" name="Top_Companies" sheetId="3" state="visible" r:id="rId3"/>
  </sheets>
  <definedNames>
    <definedName name="_xlnm._FilterDatabase" localSheetId="0" hidden="1">'Dashboard'!$A$28:$J$28</definedName>
    <definedName name="_xlnm._FilterDatabase" localSheetId="1" hidden="1">'Companies_DB'!$A$1:$N$1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00FFFFFF"/>
      <sz val="18"/>
    </font>
    <font>
      <name val="Calibri"/>
      <i val="1"/>
      <color rgb="00D1D9E6"/>
      <sz val="10"/>
    </font>
    <font>
      <name val="Calibri"/>
      <b val="1"/>
      <color rgb="00FFFFFF"/>
      <sz val="10"/>
    </font>
    <font>
      <name val="Calibri"/>
      <color rgb="00FFFFFF"/>
      <sz val="10"/>
    </font>
    <font>
      <name val="Calibri"/>
      <b val="1"/>
      <color rgb="00FFFFFF"/>
      <sz val="11"/>
    </font>
    <font>
      <name val="Calibri"/>
      <color rgb="00424242"/>
      <sz val="10"/>
    </font>
    <font>
      <name val="Calibri"/>
      <b val="1"/>
      <color rgb="001B2A4A"/>
      <sz val="24"/>
    </font>
    <font>
      <name val="Calibri"/>
      <i val="1"/>
      <color rgb="00616161"/>
      <sz val="9"/>
    </font>
    <font>
      <name val="Calibri"/>
      <color rgb="00FFFFFF"/>
      <sz val="9"/>
    </font>
    <font>
      <name val="Calibri"/>
      <sz val="9"/>
    </font>
    <font>
      <name val="Calibri"/>
      <b val="1"/>
      <sz val="10"/>
    </font>
    <font>
      <name val="Calibri"/>
      <sz val="10"/>
    </font>
    <font>
      <name val="Calibri"/>
      <b val="1"/>
      <color rgb="001F7A1F"/>
      <sz val="10"/>
    </font>
  </fonts>
  <fills count="16">
    <fill>
      <patternFill/>
    </fill>
    <fill>
      <patternFill patternType="gray125"/>
    </fill>
    <fill>
      <patternFill patternType="solid">
        <fgColor rgb="001B2A4A"/>
        <bgColor rgb="001B2A4A"/>
      </patternFill>
    </fill>
    <fill>
      <patternFill patternType="solid">
        <fgColor rgb="001F7A1F"/>
        <bgColor rgb="001F7A1F"/>
      </patternFill>
    </fill>
    <fill>
      <patternFill patternType="solid">
        <fgColor rgb="001565C0"/>
        <bgColor rgb="001565C0"/>
      </patternFill>
    </fill>
    <fill>
      <patternFill patternType="solid">
        <fgColor rgb="008E6E1F"/>
        <bgColor rgb="008E6E1F"/>
      </patternFill>
    </fill>
    <fill>
      <patternFill patternType="solid">
        <fgColor rgb="002E7D32"/>
        <bgColor rgb="002E7D32"/>
      </patternFill>
    </fill>
    <fill>
      <patternFill patternType="solid">
        <fgColor rgb="00DCE9F9"/>
        <bgColor rgb="00DCE9F9"/>
      </patternFill>
    </fill>
    <fill>
      <patternFill patternType="solid">
        <fgColor rgb="00DCEFD8"/>
        <bgColor rgb="00DCEFD8"/>
      </patternFill>
    </fill>
    <fill>
      <patternFill patternType="solid">
        <fgColor rgb="00FCF1C9"/>
        <bgColor rgb="00FCF1C9"/>
      </patternFill>
    </fill>
    <fill>
      <patternFill patternType="solid">
        <fgColor rgb="00E6DEF2"/>
        <bgColor rgb="00E6DEF2"/>
      </patternFill>
    </fill>
    <fill>
      <patternFill patternType="solid">
        <fgColor rgb="00DCEAF7"/>
        <bgColor rgb="00DCEAF7"/>
      </patternFill>
    </fill>
    <fill>
      <patternFill patternType="solid">
        <fgColor rgb="00EFF3E6"/>
        <bgColor rgb="00EFF3E6"/>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3">
    <border>
      <left/>
      <right/>
      <top/>
      <bottom/>
      <diagonal/>
    </border>
    <border>
      <right style="thin">
        <color rgb="003D4A6B"/>
      </right>
    </border>
    <border>
      <bottom style="thin">
        <color rgb="00E0E0E0"/>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3" fillId="2" borderId="0" applyAlignment="1" pivotButton="0" quotePrefix="0" xfId="0">
      <alignment horizontal="left" vertical="center"/>
    </xf>
    <xf numFmtId="0" fontId="0" fillId="2" borderId="1" pivotButton="0" quotePrefix="0" xfId="0"/>
    <xf numFmtId="0" fontId="4" fillId="2" borderId="0" applyAlignment="1" pivotButton="0" quotePrefix="0" xfId="0">
      <alignment horizontal="left" vertical="center"/>
    </xf>
    <xf numFmtId="0" fontId="2" fillId="2" borderId="0" applyAlignment="1" pivotButton="0" quotePrefix="0" xfId="0">
      <alignment horizontal="left" vertical="center" indent="1"/>
    </xf>
    <xf numFmtId="0" fontId="5" fillId="2" borderId="0" applyAlignment="1" pivotButton="0" quotePrefix="0" xfId="0">
      <alignment horizontal="left" vertical="center"/>
    </xf>
    <xf numFmtId="0" fontId="3" fillId="3" borderId="0" applyAlignment="1" pivotButton="0" quotePrefix="0" xfId="0">
      <alignment horizontal="left" vertical="center" indent="1"/>
    </xf>
    <xf numFmtId="0" fontId="3" fillId="4" borderId="0" applyAlignment="1" pivotButton="0" quotePrefix="0" xfId="0">
      <alignment horizontal="left" vertical="center" indent="1"/>
    </xf>
    <xf numFmtId="0" fontId="3" fillId="5" borderId="0" applyAlignment="1" pivotButton="0" quotePrefix="0" xfId="0">
      <alignment horizontal="left" vertical="center" indent="1"/>
    </xf>
    <xf numFmtId="0" fontId="3" fillId="6" borderId="0" applyAlignment="1" pivotButton="0" quotePrefix="0" xfId="0">
      <alignment horizontal="left" vertical="center" indent="1"/>
    </xf>
    <xf numFmtId="0" fontId="6" fillId="7" borderId="0" applyAlignment="1" pivotButton="0" quotePrefix="0" xfId="0">
      <alignment horizontal="left" vertical="center" indent="1"/>
    </xf>
    <xf numFmtId="0" fontId="0" fillId="7" borderId="0" pivotButton="0" quotePrefix="0" xfId="0"/>
    <xf numFmtId="0" fontId="6" fillId="8" borderId="0" applyAlignment="1" pivotButton="0" quotePrefix="0" xfId="0">
      <alignment horizontal="left" vertical="center" indent="1"/>
    </xf>
    <xf numFmtId="0" fontId="0" fillId="8" borderId="0" pivotButton="0" quotePrefix="0" xfId="0"/>
    <xf numFmtId="0" fontId="6" fillId="9" borderId="0" applyAlignment="1" pivotButton="0" quotePrefix="0" xfId="0">
      <alignment horizontal="left" vertical="center" indent="1"/>
    </xf>
    <xf numFmtId="0" fontId="0" fillId="9" borderId="0" pivotButton="0" quotePrefix="0" xfId="0"/>
    <xf numFmtId="0" fontId="6" fillId="10" borderId="0" applyAlignment="1" pivotButton="0" quotePrefix="0" xfId="0">
      <alignment horizontal="left" vertical="center" indent="1"/>
    </xf>
    <xf numFmtId="0" fontId="0" fillId="10" borderId="0" pivotButton="0" quotePrefix="0" xfId="0"/>
    <xf numFmtId="0" fontId="6" fillId="11" borderId="0" applyAlignment="1" pivotButton="0" quotePrefix="0" xfId="0">
      <alignment horizontal="left" vertical="center" indent="1"/>
    </xf>
    <xf numFmtId="0" fontId="0" fillId="11" borderId="0" pivotButton="0" quotePrefix="0" xfId="0"/>
    <xf numFmtId="0" fontId="7" fillId="7" borderId="0" applyAlignment="1" pivotButton="0" quotePrefix="0" xfId="0">
      <alignment horizontal="left" vertical="center" indent="1"/>
    </xf>
    <xf numFmtId="0" fontId="7" fillId="8" borderId="0" applyAlignment="1" pivotButton="0" quotePrefix="0" xfId="0">
      <alignment horizontal="left" vertical="center" indent="1"/>
    </xf>
    <xf numFmtId="0" fontId="7" fillId="9" borderId="0" applyAlignment="1" pivotButton="0" quotePrefix="0" xfId="0">
      <alignment horizontal="left" vertical="center" indent="1"/>
    </xf>
    <xf numFmtId="0" fontId="7" fillId="10" borderId="0" applyAlignment="1" pivotButton="0" quotePrefix="0" xfId="0">
      <alignment horizontal="left" vertical="center" indent="1"/>
    </xf>
    <xf numFmtId="0" fontId="7" fillId="11" borderId="0" applyAlignment="1" pivotButton="0" quotePrefix="0" xfId="0">
      <alignment horizontal="left" vertical="center" indent="1"/>
    </xf>
    <xf numFmtId="0" fontId="8" fillId="7" borderId="0" applyAlignment="1" pivotButton="0" quotePrefix="0" xfId="0">
      <alignment horizontal="left" vertical="center" indent="1"/>
    </xf>
    <xf numFmtId="0" fontId="8" fillId="8" borderId="0" applyAlignment="1" pivotButton="0" quotePrefix="0" xfId="0">
      <alignment horizontal="left" vertical="center" indent="1"/>
    </xf>
    <xf numFmtId="0" fontId="8" fillId="9" borderId="0" applyAlignment="1" pivotButton="0" quotePrefix="0" xfId="0">
      <alignment horizontal="left" vertical="center" indent="1"/>
    </xf>
    <xf numFmtId="0" fontId="8" fillId="10" borderId="0" applyAlignment="1" pivotButton="0" quotePrefix="0" xfId="0">
      <alignment horizontal="left" vertical="center" indent="1"/>
    </xf>
    <xf numFmtId="0" fontId="8" fillId="11" borderId="0" applyAlignment="1" pivotButton="0" quotePrefix="0" xfId="0">
      <alignment horizontal="left" vertical="center" indent="1"/>
    </xf>
    <xf numFmtId="0" fontId="9" fillId="0" borderId="0" pivotButton="0" quotePrefix="0" xfId="0"/>
    <xf numFmtId="0" fontId="5" fillId="2" borderId="0" applyAlignment="1" pivotButton="0" quotePrefix="0" xfId="0">
      <alignment horizontal="left" vertical="center" indent="1"/>
    </xf>
    <xf numFmtId="0" fontId="10" fillId="12" borderId="0" applyAlignment="1" pivotButton="0" quotePrefix="0" xfId="0">
      <alignment vertical="center" wrapText="1" indent="1"/>
    </xf>
    <xf numFmtId="0" fontId="0" fillId="12" borderId="0" pivotButton="0" quotePrefix="0" xfId="0"/>
    <xf numFmtId="0" fontId="3" fillId="2" borderId="0" applyAlignment="1" pivotButton="0" quotePrefix="0" xfId="0">
      <alignment horizontal="center" vertical="center" wrapText="1"/>
    </xf>
    <xf numFmtId="0" fontId="11" fillId="0" borderId="0" applyAlignment="1" pivotButton="0" quotePrefix="0" xfId="0">
      <alignment horizontal="center" vertical="center"/>
    </xf>
    <xf numFmtId="0" fontId="12" fillId="0" borderId="2" applyAlignment="1" pivotButton="0" quotePrefix="0" xfId="0">
      <alignment vertical="center" wrapText="1"/>
    </xf>
    <xf numFmtId="0" fontId="12" fillId="0" borderId="2" applyAlignment="1" pivotButton="0" quotePrefix="0" xfId="0">
      <alignment vertical="center"/>
    </xf>
    <xf numFmtId="0" fontId="12" fillId="0" borderId="2" applyAlignment="1" pivotButton="0" quotePrefix="0" xfId="0">
      <alignment horizontal="center" vertical="center"/>
    </xf>
    <xf numFmtId="0" fontId="11" fillId="13" borderId="2" applyAlignment="1" pivotButton="0" quotePrefix="0" xfId="0">
      <alignment horizontal="center" vertical="center"/>
    </xf>
    <xf numFmtId="0" fontId="13" fillId="0" borderId="2" applyAlignment="1" pivotButton="0" quotePrefix="0" xfId="0">
      <alignment vertical="center"/>
    </xf>
    <xf numFmtId="0" fontId="11" fillId="14" borderId="2" applyAlignment="1" pivotButton="0" quotePrefix="0" xfId="0">
      <alignment horizontal="center" vertical="center"/>
    </xf>
    <xf numFmtId="0" fontId="11" fillId="15" borderId="2" applyAlignment="1" pivotButton="0" quotePrefix="0" xfId="0">
      <alignment horizontal="center" vertical="center"/>
    </xf>
    <xf numFmtId="0" fontId="3" fillId="2" borderId="0" applyAlignment="1" pivotButton="0" quotePrefix="0" xfId="0">
      <alignment horizontal="center" wrapText="1"/>
    </xf>
    <xf numFmtId="0" fontId="12" fillId="0" borderId="2" pivotButton="0" quotePrefix="0" xfId="0"/>
    <xf numFmtId="0" fontId="12" fillId="13" borderId="2" pivotButton="0" quotePrefix="0" xfId="0"/>
    <xf numFmtId="164" fontId="12" fillId="0" borderId="2" pivotButton="0" quotePrefix="0" xfId="0"/>
    <xf numFmtId="0" fontId="12" fillId="14" borderId="2" pivotButton="0" quotePrefix="0" xfId="0"/>
    <xf numFmtId="0" fontId="12" fillId="15" borderId="2" pivotButton="0" quotePrefix="0" xfId="0"/>
    <xf numFmtId="0" fontId="11" fillId="0" borderId="0" pivotButton="0" quotePrefix="0" xfId="0"/>
    <xf numFmtId="0" fontId="12" fillId="0" borderId="2" applyAlignment="1" pivotButton="0" quotePrefix="0" xfId="0">
      <alignment vertical="top" wrapText="1"/>
    </xf>
    <xf numFmtId="0" fontId="11" fillId="13" borderId="2" applyAlignment="1" pivotButton="0" quotePrefix="0" xfId="0">
      <alignment vertical="top" wrapText="1"/>
    </xf>
    <xf numFmtId="0" fontId="11" fillId="14" borderId="2" applyAlignment="1" pivotButton="0" quotePrefix="0" xfId="0">
      <alignment vertical="top" wrapText="1"/>
    </xf>
    <xf numFmtId="0" fontId="11" fillId="1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Targets by Geography</a:t>
            </a:r>
          </a:p>
        </rich>
      </tx>
    </title>
    <plotArea>
      <pieChart>
        <varyColors val="1"/>
        <ser>
          <idx val="0"/>
          <order val="0"/>
          <tx>
            <strRef>
              <f>'Dashboard'!B11</f>
            </strRef>
          </tx>
          <spPr>
            <a:ln xmlns:a="http://schemas.openxmlformats.org/drawingml/2006/main">
              <a:prstDash val="solid"/>
            </a:ln>
          </spPr>
          <cat>
            <numRef>
              <f>'Dashboard'!$A$12:$A$16</f>
            </numRef>
          </cat>
          <val>
            <numRef>
              <f>'Dashboard'!$B$12:$B$16</f>
            </numRef>
          </val>
        </ser>
        <dLbls>
          <showLegendKey val="0"/>
          <showVal val="0"/>
          <showCatName val="0"/>
          <showSerName val="0"/>
          <showPercent val="1"/>
        </dLbls>
        <firstSliceAng val="0"/>
      </pieChart>
    </plotArea>
    <legend>
      <legendPos val="r"/>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Seller Readiness Score Distribution (# of Targets)</a:t>
            </a:r>
          </a:p>
        </rich>
      </tx>
    </title>
    <plotArea>
      <barChart>
        <barDir val="col"/>
        <grouping val="clustered"/>
        <ser>
          <idx val="0"/>
          <order val="0"/>
          <tx>
            <strRef>
              <f>'Dashboard'!E11</f>
            </strRef>
          </tx>
          <spPr>
            <a:ln xmlns:a="http://schemas.openxmlformats.org/drawingml/2006/main">
              <a:prstDash val="solid"/>
            </a:ln>
          </spPr>
          <cat>
            <numRef>
              <f>'Dashboard'!$D$12:$D$15</f>
            </numRef>
          </cat>
          <val>
            <numRef>
              <f>'Dashboard'!$E$12:$E$15</f>
            </numRef>
          </val>
        </ser>
        <dLbls>
          <showLegendKey val="0"/>
          <showVal val="1"/>
          <showCatName val="0"/>
          <showSerName val="0"/>
        </dLbls>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3.xml><?xml version="1.0" encoding="utf-8"?>
<chartSpace xmlns="http://schemas.openxmlformats.org/drawingml/2006/chart">
  <style val="11"/>
  <chart>
    <title>
      <tx>
        <rich>
          <a:bodyPr xmlns:a="http://schemas.openxmlformats.org/drawingml/2006/main"/>
          <a:p xmlns:a="http://schemas.openxmlformats.org/drawingml/2006/main">
            <a:pPr>
              <a:defRPr/>
            </a:pPr>
            <a:r>
              <a:t>Industry Breakdown</a:t>
            </a:r>
          </a:p>
        </rich>
      </tx>
    </title>
    <plotArea>
      <barChart>
        <barDir val="bar"/>
        <grouping val="clustered"/>
        <ser>
          <idx val="0"/>
          <order val="0"/>
          <tx>
            <strRef>
              <f>'Dashboard'!H11</f>
            </strRef>
          </tx>
          <spPr>
            <a:ln xmlns:a="http://schemas.openxmlformats.org/drawingml/2006/main">
              <a:prstDash val="solid"/>
            </a:ln>
          </spPr>
          <cat>
            <numRef>
              <f>'Dashboard'!$G$12:$G$16</f>
            </numRef>
          </cat>
          <val>
            <numRef>
              <f>'Dashboard'!$H$12:$H$16</f>
            </numRef>
          </val>
        </ser>
        <dLbls>
          <showLegendKey val="0"/>
          <showVal val="1"/>
          <showCatName val="0"/>
          <showSerNam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10</row>
      <rowOff>0</rowOff>
    </from>
    <ext cx="37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37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10</row>
      <rowOff>0</rowOff>
    </from>
    <ext cx="36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43"/>
  <sheetViews>
    <sheetView showGridLines="0" workbookViewId="0">
      <selection activeCell="A1" sqref="A1"/>
    </sheetView>
  </sheetViews>
  <sheetFormatPr baseColWidth="8" defaultRowHeight="15"/>
  <cols>
    <col width="6" customWidth="1" min="1" max="1"/>
    <col width="26" customWidth="1" min="2" max="2"/>
    <col width="20" customWidth="1" min="3" max="3"/>
    <col width="14" customWidth="1" min="4" max="4"/>
    <col width="14" customWidth="1" min="5" max="5"/>
    <col width="10" customWidth="1" min="6" max="6"/>
    <col width="13" customWidth="1" min="7" max="7"/>
    <col width="22" customWidth="1" min="8" max="8"/>
    <col width="12" customWidth="1" min="9" max="9"/>
    <col width="45"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s>
  <sheetData>
    <row r="1" ht="26" customHeight="1">
      <c r="A1" s="1" t="inlineStr">
        <is>
          <t>Agent 3 - Business Acquisition Targeting Dashboard</t>
        </is>
      </c>
      <c r="B1" s="2" t="n"/>
      <c r="C1" s="2" t="n"/>
      <c r="D1" s="2" t="n"/>
      <c r="E1" s="2" t="n"/>
      <c r="F1" s="2" t="n"/>
      <c r="G1" s="2" t="n"/>
      <c r="H1" s="3" t="inlineStr">
        <is>
          <t>Geography:</t>
        </is>
      </c>
      <c r="I1" s="4" t="n"/>
      <c r="J1" s="5" t="inlineStr">
        <is>
          <t>Data as of:</t>
        </is>
      </c>
      <c r="K1" s="2" t="n"/>
      <c r="L1" s="2" t="n"/>
    </row>
    <row r="2" ht="18" customHeight="1">
      <c r="A2" s="6" t="inlineStr">
        <is>
          <t>Surface family-owned, founder-led businesses that fit the acquisition profile</t>
        </is>
      </c>
      <c r="B2" s="2" t="n"/>
      <c r="C2" s="2" t="n"/>
      <c r="D2" s="2" t="n"/>
      <c r="E2" s="2" t="n"/>
      <c r="F2" s="2" t="n"/>
      <c r="G2" s="2" t="n"/>
      <c r="H2" s="5" t="inlineStr">
        <is>
          <t>California, FL, Nebraska, New York, Texas</t>
        </is>
      </c>
      <c r="I2" s="4" t="n"/>
      <c r="J2" s="7" t="inlineStr">
        <is>
          <t>23-Jun-2026 04:52 PM</t>
        </is>
      </c>
      <c r="K2" s="2" t="n"/>
      <c r="L2" s="2" t="n"/>
    </row>
    <row r="3" ht="4" customHeight="1">
      <c r="A3" s="2" t="n"/>
      <c r="B3" s="2" t="n"/>
      <c r="C3" s="2" t="n"/>
      <c r="D3" s="2" t="n"/>
      <c r="E3" s="2" t="n"/>
      <c r="F3" s="2" t="n"/>
      <c r="G3" s="2" t="n"/>
      <c r="H3" s="2" t="n"/>
      <c r="I3" s="2" t="n"/>
      <c r="J3" s="2" t="n"/>
      <c r="K3" s="2" t="n"/>
      <c r="L3" s="2" t="n"/>
    </row>
    <row r="4" ht="24" customHeight="1">
      <c r="A4" s="8" t="inlineStr">
        <is>
          <t xml:space="preserve">  Founder-Led:  7</t>
        </is>
      </c>
      <c r="D4" s="9" t="inlineStr">
        <is>
          <t xml:space="preserve">  Family-Owned:  3</t>
        </is>
      </c>
      <c r="G4" s="10" t="inlineStr">
        <is>
          <t xml:space="preserve">  Highest Score:  125</t>
        </is>
      </c>
      <c r="J4" s="11" t="inlineStr">
        <is>
          <t xml:space="preserve">  New Today:  4</t>
        </is>
      </c>
    </row>
    <row r="5" ht="4" customHeight="1">
      <c r="A5" s="2" t="n"/>
      <c r="B5" s="2" t="n"/>
      <c r="C5" s="2" t="n"/>
      <c r="D5" s="2" t="n"/>
      <c r="E5" s="2" t="n"/>
      <c r="F5" s="2" t="n"/>
      <c r="G5" s="2" t="n"/>
      <c r="H5" s="2" t="n"/>
      <c r="I5" s="2" t="n"/>
      <c r="J5" s="2" t="n"/>
      <c r="K5" s="2" t="n"/>
      <c r="L5" s="2" t="n"/>
    </row>
    <row r="6" ht="18" customHeight="1">
      <c r="A6" s="12" t="inlineStr">
        <is>
          <t>🎯 Total Targets Found</t>
        </is>
      </c>
      <c r="B6" s="13" t="n"/>
      <c r="C6" s="14" t="inlineStr">
        <is>
          <t>➕ New This Week</t>
        </is>
      </c>
      <c r="D6" s="15" t="n"/>
      <c r="E6" s="16" t="inlineStr">
        <is>
          <t>⭐ Shortlisted</t>
        </is>
      </c>
      <c r="F6" s="17" t="n"/>
      <c r="G6" s="17" t="n"/>
      <c r="H6" s="18" t="inlineStr">
        <is>
          <t>📋 In Review</t>
        </is>
      </c>
      <c r="I6" s="19" t="n"/>
      <c r="J6" s="20" t="inlineStr">
        <is>
          <t>✅ Reviewed</t>
        </is>
      </c>
      <c r="K6" s="21" t="n"/>
      <c r="L6" s="21" t="n"/>
    </row>
    <row r="7" ht="30" customHeight="1">
      <c r="A7" s="22" t="n">
        <v>15</v>
      </c>
      <c r="B7" s="13" t="n"/>
      <c r="C7" s="23" t="n">
        <v>4</v>
      </c>
      <c r="D7" s="15" t="n"/>
      <c r="E7" s="24" t="n">
        <v>0</v>
      </c>
      <c r="F7" s="17" t="n"/>
      <c r="G7" s="17" t="n"/>
      <c r="H7" s="25" t="n">
        <v>15</v>
      </c>
      <c r="I7" s="19" t="n"/>
      <c r="J7" s="26" t="n">
        <v>0</v>
      </c>
      <c r="K7" s="21" t="n"/>
      <c r="L7" s="21" t="n"/>
    </row>
    <row r="8" ht="16" customHeight="1">
      <c r="A8" s="27" t="inlineStr">
        <is>
          <t>All Time</t>
        </is>
      </c>
      <c r="B8" s="13" t="n"/>
      <c r="C8" s="28" t="inlineStr">
        <is>
          <t>vs Last Week: ↓ 2</t>
        </is>
      </c>
      <c r="D8" s="15" t="n"/>
      <c r="E8" s="29" t="inlineStr">
        <is>
          <t>vs Last Week: — 0</t>
        </is>
      </c>
      <c r="F8" s="17" t="n"/>
      <c r="G8" s="17" t="n"/>
      <c r="H8" s="30" t="inlineStr">
        <is>
          <t>vs Last Week: ↑ 9</t>
        </is>
      </c>
      <c r="I8" s="19" t="n"/>
      <c r="J8" s="31" t="inlineStr">
        <is>
          <t>vs Last Week: — 0</t>
        </is>
      </c>
      <c r="K8" s="21" t="n"/>
      <c r="L8" s="21" t="n"/>
    </row>
    <row r="9" ht="8" customHeight="1">
      <c r="A9" s="13" t="n"/>
      <c r="B9" s="13" t="n"/>
      <c r="C9" s="15" t="n"/>
      <c r="D9" s="15" t="n"/>
      <c r="E9" s="17" t="n"/>
      <c r="F9" s="17" t="n"/>
      <c r="G9" s="17" t="n"/>
      <c r="H9" s="19" t="n"/>
      <c r="I9" s="19" t="n"/>
      <c r="J9" s="21" t="n"/>
      <c r="K9" s="21" t="n"/>
      <c r="L9" s="21" t="n"/>
    </row>
    <row r="11" ht="22" customHeight="1">
      <c r="A11" s="32" t="inlineStr">
        <is>
          <t>State</t>
        </is>
      </c>
      <c r="B11" s="32" t="inlineStr">
        <is>
          <t>Count</t>
        </is>
      </c>
      <c r="D11" s="32" t="inlineStr">
        <is>
          <t>Band</t>
        </is>
      </c>
      <c r="E11" s="32" t="inlineStr">
        <is>
          <t>Count</t>
        </is>
      </c>
      <c r="G11" s="32" t="inlineStr">
        <is>
          <t>Industry</t>
        </is>
      </c>
      <c r="H11" s="32" t="inlineStr">
        <is>
          <t>Count</t>
        </is>
      </c>
      <c r="K11" s="33" t="inlineStr">
        <is>
          <t>Key Insights</t>
        </is>
      </c>
    </row>
    <row r="12" ht="16" customHeight="1">
      <c r="A12" s="32" t="inlineStr">
        <is>
          <t>FL</t>
        </is>
      </c>
      <c r="B12" s="32" t="n">
        <v>8</v>
      </c>
      <c r="D12" s="32" t="inlineStr">
        <is>
          <t>20-40</t>
        </is>
      </c>
      <c r="E12" s="32" t="n">
        <v>5</v>
      </c>
      <c r="G12" s="32" t="inlineStr">
        <is>
          <t>Telecommunications</t>
        </is>
      </c>
      <c r="H12" s="32" t="n">
        <v>2</v>
      </c>
      <c r="K12" s="34" t="inlineStr">
        <is>
          <t>• 47% of targets are founder-led</t>
        </is>
      </c>
      <c r="L12" s="35" t="n"/>
    </row>
    <row r="13" ht="16" customHeight="1">
      <c r="A13" s="32" t="inlineStr">
        <is>
          <t>Unknown</t>
        </is>
      </c>
      <c r="B13" s="32" t="n">
        <v>3</v>
      </c>
      <c r="D13" s="32" t="inlineStr">
        <is>
          <t>40-60</t>
        </is>
      </c>
      <c r="E13" s="32" t="n">
        <v>4</v>
      </c>
      <c r="G13" s="32" t="inlineStr">
        <is>
          <t>Engines and Power Transm...</t>
        </is>
      </c>
      <c r="H13" s="32" t="n">
        <v>1</v>
      </c>
      <c r="K13" s="35" t="n"/>
      <c r="L13" s="35" t="n"/>
    </row>
    <row r="14" ht="16" customHeight="1">
      <c r="A14" s="32" t="inlineStr">
        <is>
          <t>Texas</t>
        </is>
      </c>
      <c r="B14" s="32" t="n">
        <v>1</v>
      </c>
      <c r="D14" s="32" t="inlineStr">
        <is>
          <t>60-80</t>
        </is>
      </c>
      <c r="E14" s="32" t="n">
        <v>0</v>
      </c>
      <c r="G14" s="32" t="inlineStr">
        <is>
          <t>Individual and Family Se...</t>
        </is>
      </c>
      <c r="H14" s="32" t="n">
        <v>1</v>
      </c>
      <c r="K14" s="34" t="inlineStr">
        <is>
          <t>• 20% of targets are family-owned</t>
        </is>
      </c>
      <c r="L14" s="35" t="n"/>
    </row>
    <row r="15" ht="16" customHeight="1">
      <c r="A15" s="32" t="inlineStr">
        <is>
          <t>New York</t>
        </is>
      </c>
      <c r="B15" s="32" t="n">
        <v>1</v>
      </c>
      <c r="D15" s="32" t="inlineStr">
        <is>
          <t>80-100</t>
        </is>
      </c>
      <c r="E15" s="32" t="n">
        <v>1</v>
      </c>
      <c r="G15" s="32" t="inlineStr">
        <is>
          <t>Retail</t>
        </is>
      </c>
      <c r="H15" s="32" t="n">
        <v>1</v>
      </c>
      <c r="K15" s="35" t="n"/>
      <c r="L15" s="35" t="n"/>
    </row>
    <row r="16" ht="16" customHeight="1">
      <c r="A16" s="32" t="inlineStr">
        <is>
          <t>Nebraska</t>
        </is>
      </c>
      <c r="B16" s="32" t="n">
        <v>1</v>
      </c>
      <c r="G16" s="32" t="inlineStr">
        <is>
          <t>Warehousing and Storage</t>
        </is>
      </c>
      <c r="H16" s="32" t="n">
        <v>1</v>
      </c>
      <c r="K16" s="34" t="inlineStr">
        <is>
          <t>• FL has the highest volume</t>
        </is>
      </c>
      <c r="L16" s="35" t="n"/>
    </row>
    <row r="17" ht="16" customHeight="1">
      <c r="K17" s="35" t="n"/>
      <c r="L17" s="35" t="n"/>
    </row>
    <row r="18" ht="16" customHeight="1">
      <c r="K18" s="34" t="inlineStr">
        <is>
          <t>• 4 new targets added this run</t>
        </is>
      </c>
      <c r="L18" s="35" t="n"/>
    </row>
    <row r="19" ht="16" customHeight="1">
      <c r="K19" s="35" t="n"/>
      <c r="L19" s="35" t="n"/>
    </row>
    <row r="20" ht="16" customHeight="1">
      <c r="K20" s="34" t="inlineStr">
        <is>
          <t>• 3 companies scored 80+</t>
        </is>
      </c>
      <c r="L20" s="35" t="n"/>
    </row>
    <row r="21" ht="16" customHeight="1">
      <c r="K21" s="35" t="n"/>
      <c r="L21" s="35" t="n"/>
    </row>
    <row r="22" ht="16" customHeight="1">
      <c r="K22" s="35" t="n"/>
      <c r="L22" s="35" t="n"/>
    </row>
    <row r="23" ht="16" customHeight="1">
      <c r="K23" s="35" t="n"/>
      <c r="L23" s="35" t="n"/>
    </row>
    <row r="24" ht="16" customHeight="1">
      <c r="K24" s="35" t="n"/>
      <c r="L24" s="35" t="n"/>
    </row>
    <row r="25" ht="16" customHeight="1">
      <c r="K25" s="35" t="n"/>
      <c r="L25" s="35" t="n"/>
    </row>
    <row r="28" ht="26" customHeight="1">
      <c r="A28" s="36" t="inlineStr">
        <is>
          <t>Rank</t>
        </is>
      </c>
      <c r="B28" s="36" t="inlineStr">
        <is>
          <t>Company Name</t>
        </is>
      </c>
      <c r="C28" s="36" t="inlineStr">
        <is>
          <t>Founder Name</t>
        </is>
      </c>
      <c r="D28" s="36" t="inlineStr">
        <is>
          <t>Founder Age (Est.)</t>
        </is>
      </c>
      <c r="E28" s="36" t="inlineStr">
        <is>
          <t>Years in Business</t>
        </is>
      </c>
      <c r="F28" s="36" t="inlineStr">
        <is>
          <t>State</t>
        </is>
      </c>
      <c r="G28" s="36" t="inlineStr">
        <is>
          <t>Readiness Score</t>
        </is>
      </c>
      <c r="H28" s="36" t="inlineStr">
        <is>
          <t>Ownership Type</t>
        </is>
      </c>
      <c r="I28" s="36" t="inlineStr">
        <is>
          <t>Status</t>
        </is>
      </c>
      <c r="J28" s="36" t="inlineStr">
        <is>
          <t>Why Selected</t>
        </is>
      </c>
    </row>
    <row r="29">
      <c r="A29" s="37" t="n">
        <v>1</v>
      </c>
      <c r="B29" s="38" t="inlineStr">
        <is>
          <t>ATL Diesel</t>
        </is>
      </c>
      <c r="C29" s="38" t="inlineStr">
        <is>
          <t>Dan Bendever</t>
        </is>
      </c>
      <c r="D29" s="39" t="inlineStr">
        <is>
          <t>70-80</t>
        </is>
      </c>
      <c r="E29" s="40" t="n">
        <v>53</v>
      </c>
      <c r="F29" s="39" t="inlineStr">
        <is>
          <t>Texas</t>
        </is>
      </c>
      <c r="G29" s="41" t="n">
        <v>125</v>
      </c>
      <c r="H29" s="39" t="inlineStr">
        <is>
          <t>Family-Owned</t>
        </is>
      </c>
      <c r="I29" s="42" t="inlineStr">
        <is>
          <t>New</t>
        </is>
      </c>
      <c r="J29" s="38" t="inlineStr">
        <is>
          <t>Established family-owned manufacturer with high seller readiness score.</t>
        </is>
      </c>
    </row>
    <row r="30">
      <c r="A30" s="37" t="n">
        <v>2</v>
      </c>
      <c r="B30" s="38" t="inlineStr">
        <is>
          <t>ATL Diesel</t>
        </is>
      </c>
      <c r="C30" s="38" t="inlineStr">
        <is>
          <t>Dan Bendever</t>
        </is>
      </c>
      <c r="D30" s="39" t="inlineStr">
        <is>
          <t>70-80</t>
        </is>
      </c>
      <c r="E30" s="40" t="n">
        <v>53</v>
      </c>
      <c r="F30" s="39" t="inlineStr">
        <is>
          <t>FL</t>
        </is>
      </c>
      <c r="G30" s="41" t="n">
        <v>115</v>
      </c>
      <c r="H30" s="39" t="inlineStr">
        <is>
          <t>Family-Owned, Founder-Led</t>
        </is>
      </c>
      <c r="I30" s="42" t="inlineStr">
        <is>
          <t>New</t>
        </is>
      </c>
      <c r="J30" s="38" t="inlineStr">
        <is>
          <t>Established company with high seller readiness and potential for acquisition.</t>
        </is>
      </c>
    </row>
    <row r="31">
      <c r="A31" s="37" t="n">
        <v>3</v>
      </c>
      <c r="B31" s="38" t="inlineStr">
        <is>
          <t>ALDI</t>
        </is>
      </c>
      <c r="C31" s="38" t="inlineStr">
        <is>
          <t>Karl and Theo Albrecht</t>
        </is>
      </c>
      <c r="D31" s="39" t="inlineStr">
        <is>
          <t>Unknown</t>
        </is>
      </c>
      <c r="E31" s="40" t="n">
        <v>80</v>
      </c>
      <c r="F31" s="39" t="inlineStr">
        <is>
          <t>Unknown</t>
        </is>
      </c>
      <c r="G31" s="41" t="n">
        <v>85</v>
      </c>
      <c r="H31" s="39" t="inlineStr">
        <is>
          <t>Family-Owned</t>
        </is>
      </c>
      <c r="I31" s="42" t="inlineStr">
        <is>
          <t>New</t>
        </is>
      </c>
      <c r="J31" s="38" t="inlineStr">
        <is>
          <t>ALDI's strong family ownership and high seller readiness make it an attractive acquisition target.</t>
        </is>
      </c>
    </row>
    <row r="32">
      <c r="A32" s="37" t="n">
        <v>4</v>
      </c>
      <c r="B32" s="38" t="inlineStr">
        <is>
          <t>AMWAT Moving Warehousing Storage</t>
        </is>
      </c>
      <c r="C32" s="38" t="inlineStr">
        <is>
          <t>Gloria Maria Pugh</t>
        </is>
      </c>
      <c r="D32" s="39" t="inlineStr">
        <is>
          <t>Unknown</t>
        </is>
      </c>
      <c r="E32" s="40" t="n">
        <v>29</v>
      </c>
      <c r="F32" s="39" t="inlineStr">
        <is>
          <t>FL</t>
        </is>
      </c>
      <c r="G32" s="43" t="n">
        <v>50</v>
      </c>
      <c r="H32" s="39" t="inlineStr">
        <is>
          <t>Founder-Led</t>
        </is>
      </c>
      <c r="I32" s="42" t="inlineStr">
        <is>
          <t>New</t>
        </is>
      </c>
      <c r="J32" s="38" t="inlineStr">
        <is>
          <t>Established warehousing company with over 25 years of operational experience.</t>
        </is>
      </c>
    </row>
    <row r="33">
      <c r="A33" s="37" t="n">
        <v>5</v>
      </c>
      <c r="B33" s="38" t="inlineStr">
        <is>
          <t>All Florida Paper</t>
        </is>
      </c>
      <c r="C33" s="38" t="inlineStr">
        <is>
          <t>Armando Caceres</t>
        </is>
      </c>
      <c r="D33" s="39" t="inlineStr">
        <is>
          <t>Unknown</t>
        </is>
      </c>
      <c r="E33" s="40" t="n">
        <v>33</v>
      </c>
      <c r="F33" s="39" t="inlineStr">
        <is>
          <t>FL</t>
        </is>
      </c>
      <c r="G33" s="43" t="n">
        <v>45</v>
      </c>
      <c r="H33" s="39" t="inlineStr">
        <is>
          <t>Founder-Led</t>
        </is>
      </c>
      <c r="I33" s="42" t="inlineStr">
        <is>
          <t>New</t>
        </is>
      </c>
      <c r="J33" s="38" t="inlineStr">
        <is>
          <t>Established logistics company with 33 years of experience and moderate seller readiness.</t>
        </is>
      </c>
    </row>
    <row r="34">
      <c r="A34" s="37" t="n">
        <v>6</v>
      </c>
      <c r="B34" s="38" t="inlineStr">
        <is>
          <t>Alternalight llc</t>
        </is>
      </c>
      <c r="C34" s="38" t="inlineStr">
        <is>
          <t>Russell Stidolph</t>
        </is>
      </c>
      <c r="D34" s="39" t="inlineStr">
        <is>
          <t>Unknown</t>
        </is>
      </c>
      <c r="E34" s="40" t="n">
        <v>20</v>
      </c>
      <c r="F34" s="39" t="inlineStr">
        <is>
          <t>Unknown</t>
        </is>
      </c>
      <c r="G34" s="43" t="n">
        <v>45</v>
      </c>
      <c r="H34" s="39" t="inlineStr">
        <is>
          <t>Founder-Led</t>
        </is>
      </c>
      <c r="I34" s="42" t="inlineStr">
        <is>
          <t>New</t>
        </is>
      </c>
      <c r="J34" s="38" t="inlineStr">
        <is>
          <t>Alternalight LLC offers 20 years of experience in alternative energy under strong founder leadership.</t>
        </is>
      </c>
    </row>
    <row r="35">
      <c r="A35" s="37" t="n">
        <v>7</v>
      </c>
      <c r="B35" s="38" t="inlineStr">
        <is>
          <t>Ameritape, Inc.</t>
        </is>
      </c>
      <c r="C35" s="38" t="inlineStr">
        <is>
          <t>Renee Soares, Tom Whipple</t>
        </is>
      </c>
      <c r="D35" s="39" t="inlineStr">
        <is>
          <t>Unknown</t>
        </is>
      </c>
      <c r="E35" s="40" t="n">
        <v>36</v>
      </c>
      <c r="F35" s="39" t="inlineStr">
        <is>
          <t>FL</t>
        </is>
      </c>
      <c r="G35" s="43" t="n">
        <v>40</v>
      </c>
      <c r="H35" s="39" t="inlineStr">
        <is>
          <t>Unknown</t>
        </is>
      </c>
      <c r="I35" s="42" t="inlineStr">
        <is>
          <t>New</t>
        </is>
      </c>
      <c r="J35" s="38" t="inlineStr">
        <is>
          <t>Ameritape, Inc. is a stable, niche player in automation machinery manufacturing.</t>
        </is>
      </c>
    </row>
    <row r="36">
      <c r="A36" s="37" t="n">
        <v>8</v>
      </c>
      <c r="B36" s="38" t="inlineStr">
        <is>
          <t>Accordis International</t>
        </is>
      </c>
      <c r="C36" s="38" t="inlineStr">
        <is>
          <t>Rehan Khan</t>
        </is>
      </c>
      <c r="D36" s="39" t="inlineStr">
        <is>
          <t>Unknown</t>
        </is>
      </c>
      <c r="E36" s="40" t="n">
        <v>18</v>
      </c>
      <c r="F36" s="39" t="inlineStr">
        <is>
          <t>FL</t>
        </is>
      </c>
      <c r="G36" s="44" t="n">
        <v>35</v>
      </c>
      <c r="H36" s="39" t="inlineStr">
        <is>
          <t>Founder-Led</t>
        </is>
      </c>
      <c r="I36" s="42" t="inlineStr">
        <is>
          <t>New</t>
        </is>
      </c>
      <c r="J36" s="38" t="inlineStr">
        <is>
          <t>Accordis International is a stable, experienced IT services firm with founder-led leadership.</t>
        </is>
      </c>
    </row>
    <row r="37">
      <c r="A37" s="37" t="n">
        <v>9</v>
      </c>
      <c r="B37" s="38" t="inlineStr">
        <is>
          <t>Acosta</t>
        </is>
      </c>
      <c r="C37" s="38" t="inlineStr">
        <is>
          <t>Unknown</t>
        </is>
      </c>
      <c r="D37" s="39" t="inlineStr">
        <is>
          <t>Unknown</t>
        </is>
      </c>
      <c r="E37" s="40" t="n">
        <v>99</v>
      </c>
      <c r="F37" s="39" t="inlineStr">
        <is>
          <t>FL</t>
        </is>
      </c>
      <c r="G37" s="44" t="n">
        <v>35</v>
      </c>
      <c r="H37" s="39" t="inlineStr">
        <is>
          <t>Unknown</t>
        </is>
      </c>
      <c r="I37" s="42" t="inlineStr">
        <is>
          <t>New</t>
        </is>
      </c>
      <c r="J37" s="38" t="inlineStr">
        <is>
          <t>Acosta's long history and current leadership make it a compelling acquisition target.</t>
        </is>
      </c>
    </row>
    <row r="38">
      <c r="A38" s="37" t="n">
        <v>10</v>
      </c>
      <c r="B38" s="38" t="inlineStr">
        <is>
          <t>AirQuest Environmental, Inc.</t>
        </is>
      </c>
      <c r="C38" s="38" t="inlineStr">
        <is>
          <t>Unknown</t>
        </is>
      </c>
      <c r="D38" s="39" t="inlineStr">
        <is>
          <t>Unknown</t>
        </is>
      </c>
      <c r="E38" s="40" t="n">
        <v>24</v>
      </c>
      <c r="F38" s="39" t="inlineStr">
        <is>
          <t>FL</t>
        </is>
      </c>
      <c r="G38" s="44" t="n">
        <v>35</v>
      </c>
      <c r="H38" s="39" t="inlineStr">
        <is>
          <t>Founder-Led</t>
        </is>
      </c>
      <c r="I38" s="42" t="inlineStr">
        <is>
          <t>New</t>
        </is>
      </c>
      <c r="J38" s="38" t="inlineStr">
        <is>
          <t>Established environmental services firm with 24 years of niche expertise.</t>
        </is>
      </c>
    </row>
    <row r="39">
      <c r="A39" s="37" t="n">
        <v>11</v>
      </c>
      <c r="B39" s="38" t="inlineStr">
        <is>
          <t>Accordion Partners</t>
        </is>
      </c>
      <c r="C39" s="38" t="inlineStr">
        <is>
          <t>Nick Leopard</t>
        </is>
      </c>
      <c r="D39" s="39" t="inlineStr">
        <is>
          <t>Unknown</t>
        </is>
      </c>
      <c r="E39" s="40" t="n">
        <v>17</v>
      </c>
      <c r="F39" s="39" t="inlineStr">
        <is>
          <t>New York</t>
        </is>
      </c>
      <c r="G39" s="44" t="n">
        <v>25</v>
      </c>
      <c r="H39" s="39" t="inlineStr">
        <is>
          <t>Founder-Led</t>
        </is>
      </c>
      <c r="I39" s="42" t="inlineStr">
        <is>
          <t>New</t>
        </is>
      </c>
      <c r="J39" s="38" t="inlineStr">
        <is>
          <t>Accordion Partners is a seasoned consulting firm with strong leadership and growth potential.</t>
        </is>
      </c>
    </row>
    <row r="40">
      <c r="A40" s="37" t="n">
        <v>12</v>
      </c>
      <c r="B40" s="38" t="inlineStr">
        <is>
          <t>Allo</t>
        </is>
      </c>
      <c r="C40" s="38" t="inlineStr">
        <is>
          <t>Brad Moline</t>
        </is>
      </c>
      <c r="D40" s="39" t="inlineStr">
        <is>
          <t>Unknown</t>
        </is>
      </c>
      <c r="E40" s="40" t="n">
        <v>23</v>
      </c>
      <c r="F40" s="39" t="inlineStr">
        <is>
          <t>Nebraska</t>
        </is>
      </c>
      <c r="G40" s="44" t="n">
        <v>20</v>
      </c>
      <c r="H40" s="39" t="inlineStr">
        <is>
          <t>Unknown</t>
        </is>
      </c>
      <c r="I40" s="42" t="inlineStr">
        <is>
          <t>New</t>
        </is>
      </c>
      <c r="J40" s="38" t="inlineStr">
        <is>
          <t>Allo is a stable telecommunications company with a strong Seller Readiness Score.</t>
        </is>
      </c>
    </row>
    <row r="41">
      <c r="A41" s="37" t="n">
        <v>13</v>
      </c>
      <c r="B41" s="38" t="inlineStr">
        <is>
          <t>Affinity Beverages LLC</t>
        </is>
      </c>
      <c r="C41" s="38" t="inlineStr">
        <is>
          <t>Stanley Rottell</t>
        </is>
      </c>
      <c r="D41" s="39" t="inlineStr">
        <is>
          <t>Unknown</t>
        </is>
      </c>
      <c r="E41" s="40" t="n">
        <v>12</v>
      </c>
      <c r="F41" s="39" t="inlineStr">
        <is>
          <t>FL</t>
        </is>
      </c>
      <c r="G41" s="44" t="n">
        <v>10</v>
      </c>
      <c r="H41" s="39" t="inlineStr">
        <is>
          <t>Unknown</t>
        </is>
      </c>
      <c r="I41" s="42" t="inlineStr">
        <is>
          <t>New</t>
        </is>
      </c>
      <c r="J41" s="38" t="inlineStr">
        <is>
          <t>Affinity Beverages LLC shows strong acquisition potential with a high seller readiness score.</t>
        </is>
      </c>
    </row>
    <row r="42">
      <c r="A42" s="37" t="n">
        <v>14</v>
      </c>
      <c r="B42" s="38" t="inlineStr">
        <is>
          <t>Accelerate Capital Group</t>
        </is>
      </c>
      <c r="C42" s="38" t="inlineStr">
        <is>
          <t>Alexis Graham, Ian Tracy</t>
        </is>
      </c>
      <c r="D42" s="39" t="inlineStr">
        <is>
          <t>Unknown</t>
        </is>
      </c>
      <c r="E42" s="40" t="n">
        <v>18</v>
      </c>
      <c r="F42" s="39" t="inlineStr">
        <is>
          <t>Unknown</t>
        </is>
      </c>
      <c r="G42" s="44" t="n">
        <v>10</v>
      </c>
      <c r="H42" s="39" t="inlineStr">
        <is>
          <t>Unknown</t>
        </is>
      </c>
      <c r="I42" s="42" t="inlineStr">
        <is>
          <t>New</t>
        </is>
      </c>
      <c r="J42" s="38" t="inlineStr">
        <is>
          <t>Accelerate Capital Group is a stable financial services firm with high seller readiness.</t>
        </is>
      </c>
    </row>
    <row r="43">
      <c r="A43" s="37" t="n">
        <v>15</v>
      </c>
      <c r="B43" s="38" t="inlineStr">
        <is>
          <t>2600Hz</t>
        </is>
      </c>
      <c r="C43" s="38" t="inlineStr">
        <is>
          <t>Unknown</t>
        </is>
      </c>
      <c r="D43" s="39" t="inlineStr">
        <is>
          <t>Unknown</t>
        </is>
      </c>
      <c r="E43" s="40" t="n">
        <v>16</v>
      </c>
      <c r="F43" s="39" t="inlineStr">
        <is>
          <t>California</t>
        </is>
      </c>
      <c r="G43" s="44" t="n">
        <v>10</v>
      </c>
      <c r="H43" s="39" t="inlineStr">
        <is>
          <t>Unknown</t>
        </is>
      </c>
      <c r="I43" s="42" t="inlineStr">
        <is>
          <t>New</t>
        </is>
      </c>
      <c r="J43" s="38" t="inlineStr">
        <is>
          <t>2600Hz is a prime acquisition target with a high seller readiness score.</t>
        </is>
      </c>
    </row>
  </sheetData>
  <autoFilter ref="A28:J28"/>
  <mergeCells count="35">
    <mergeCell ref="J6:L6"/>
    <mergeCell ref="C6:D6"/>
    <mergeCell ref="K12:L13"/>
    <mergeCell ref="H1:I1"/>
    <mergeCell ref="E9:G9"/>
    <mergeCell ref="J9:L9"/>
    <mergeCell ref="J4:L4"/>
    <mergeCell ref="A6:B6"/>
    <mergeCell ref="E6:G6"/>
    <mergeCell ref="H9:I9"/>
    <mergeCell ref="K14:L15"/>
    <mergeCell ref="J7:L7"/>
    <mergeCell ref="A2:F2"/>
    <mergeCell ref="K11:L11"/>
    <mergeCell ref="H6:I6"/>
    <mergeCell ref="A7:B7"/>
    <mergeCell ref="D4:F4"/>
    <mergeCell ref="G4:I4"/>
    <mergeCell ref="C9:D9"/>
    <mergeCell ref="A4:C4"/>
    <mergeCell ref="E7:G7"/>
    <mergeCell ref="K16:L17"/>
    <mergeCell ref="J2:L2"/>
    <mergeCell ref="H2:I2"/>
    <mergeCell ref="H7:I7"/>
    <mergeCell ref="K18:L19"/>
    <mergeCell ref="J8:L8"/>
    <mergeCell ref="A8:B8"/>
    <mergeCell ref="C8:D8"/>
    <mergeCell ref="C7:D7"/>
    <mergeCell ref="A1:F1"/>
    <mergeCell ref="E8:G8"/>
    <mergeCell ref="K20:L25"/>
    <mergeCell ref="H8:I8"/>
    <mergeCell ref="A9:B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8" customWidth="1" min="3" max="3"/>
    <col width="14" customWidth="1" min="4" max="4"/>
    <col width="12" customWidth="1" min="5" max="5"/>
    <col width="14" customWidth="1" min="6" max="6"/>
    <col width="20" customWidth="1" min="7" max="7"/>
    <col width="12" customWidth="1" min="8" max="8"/>
    <col width="12" customWidth="1" min="9" max="9"/>
    <col width="14" customWidth="1" min="10" max="10"/>
    <col width="16" customWidth="1" min="11" max="11"/>
    <col width="14" customWidth="1" min="12" max="12"/>
    <col width="14" customWidth="1" min="13" max="13"/>
    <col width="14" customWidth="1" min="14" max="14"/>
  </cols>
  <sheetData>
    <row r="1">
      <c r="A1" s="45" t="inlineStr">
        <is>
          <t>Company Name</t>
        </is>
      </c>
      <c r="B1" s="45" t="inlineStr">
        <is>
          <t>State</t>
        </is>
      </c>
      <c r="C1" s="45" t="inlineStr">
        <is>
          <t>Industry</t>
        </is>
      </c>
      <c r="D1" s="45" t="inlineStr">
        <is>
          <t>Company Type</t>
        </is>
      </c>
      <c r="E1" s="45" t="inlineStr">
        <is>
          <t>Founded Year</t>
        </is>
      </c>
      <c r="F1" s="45" t="inlineStr">
        <is>
          <t>Years in Business</t>
        </is>
      </c>
      <c r="G1" s="45" t="inlineStr">
        <is>
          <t>Founder Name</t>
        </is>
      </c>
      <c r="H1" s="45" t="inlineStr">
        <is>
          <t>Founder Led</t>
        </is>
      </c>
      <c r="I1" s="45" t="inlineStr">
        <is>
          <t>Family Owned</t>
        </is>
      </c>
      <c r="J1" s="45" t="inlineStr">
        <is>
          <t>Founder Age Est.</t>
        </is>
      </c>
      <c r="K1" s="45" t="inlineStr">
        <is>
          <t>Seller Readiness Score</t>
        </is>
      </c>
      <c r="L1" s="45" t="inlineStr">
        <is>
          <t>Review Status</t>
        </is>
      </c>
      <c r="M1" s="45" t="inlineStr">
        <is>
          <t>First Seen</t>
        </is>
      </c>
      <c r="N1" s="45" t="inlineStr">
        <is>
          <t>Last Seen</t>
        </is>
      </c>
    </row>
    <row r="2">
      <c r="A2" s="46" t="inlineStr">
        <is>
          <t>ATL Diesel</t>
        </is>
      </c>
      <c r="B2" s="46" t="inlineStr">
        <is>
          <t>Texas</t>
        </is>
      </c>
      <c r="C2" s="46" t="inlineStr">
        <is>
          <t>Engines and Power Transmission Equipment Manufacturing</t>
        </is>
      </c>
      <c r="D2" s="46" t="inlineStr">
        <is>
          <t>Unknown</t>
        </is>
      </c>
      <c r="E2" s="46" t="inlineStr">
        <is>
          <t>1973</t>
        </is>
      </c>
      <c r="F2" s="46" t="n">
        <v>53</v>
      </c>
      <c r="G2" s="46" t="inlineStr">
        <is>
          <t>Dan Bendever</t>
        </is>
      </c>
      <c r="H2" s="46" t="inlineStr">
        <is>
          <t>No</t>
        </is>
      </c>
      <c r="I2" s="46" t="inlineStr">
        <is>
          <t>Yes</t>
        </is>
      </c>
      <c r="J2" s="46" t="inlineStr">
        <is>
          <t>70-80</t>
        </is>
      </c>
      <c r="K2" s="47" t="n">
        <v>125</v>
      </c>
      <c r="L2" s="46" t="inlineStr">
        <is>
          <t>New</t>
        </is>
      </c>
      <c r="M2" s="48" t="n">
        <v>46195</v>
      </c>
      <c r="N2" s="48" t="n">
        <v>46195</v>
      </c>
    </row>
    <row r="3">
      <c r="A3" s="46" t="inlineStr">
        <is>
          <t>ATL Diesel</t>
        </is>
      </c>
      <c r="B3" s="46" t="inlineStr">
        <is>
          <t>FL</t>
        </is>
      </c>
      <c r="C3" s="46" t="inlineStr">
        <is>
          <t>Individual and Family Services</t>
        </is>
      </c>
      <c r="D3" s="46" t="inlineStr">
        <is>
          <t>Unknown</t>
        </is>
      </c>
      <c r="E3" s="46" t="inlineStr">
        <is>
          <t>1973</t>
        </is>
      </c>
      <c r="F3" s="46" t="n">
        <v>53</v>
      </c>
      <c r="G3" s="46" t="inlineStr">
        <is>
          <t>Dan Bendever</t>
        </is>
      </c>
      <c r="H3" s="46" t="inlineStr">
        <is>
          <t>Yes</t>
        </is>
      </c>
      <c r="I3" s="46" t="inlineStr">
        <is>
          <t>Yes</t>
        </is>
      </c>
      <c r="J3" s="46" t="inlineStr">
        <is>
          <t>70-80</t>
        </is>
      </c>
      <c r="K3" s="47" t="n">
        <v>115</v>
      </c>
      <c r="L3" s="46" t="inlineStr">
        <is>
          <t>New</t>
        </is>
      </c>
      <c r="M3" s="48" t="n">
        <v>46195</v>
      </c>
      <c r="N3" s="48" t="n">
        <v>46195</v>
      </c>
    </row>
    <row r="4">
      <c r="A4" s="46" t="inlineStr">
        <is>
          <t>ALDI</t>
        </is>
      </c>
      <c r="B4" s="46" t="inlineStr">
        <is>
          <t>Unknown</t>
        </is>
      </c>
      <c r="C4" s="46" t="inlineStr">
        <is>
          <t>Retail</t>
        </is>
      </c>
      <c r="D4" s="46" t="inlineStr">
        <is>
          <t>Private</t>
        </is>
      </c>
      <c r="E4" s="46" t="inlineStr">
        <is>
          <t>1946</t>
        </is>
      </c>
      <c r="F4" s="46" t="n">
        <v>80</v>
      </c>
      <c r="G4" s="46" t="inlineStr">
        <is>
          <t>Karl and Theo Albrecht</t>
        </is>
      </c>
      <c r="H4" s="46" t="inlineStr">
        <is>
          <t>Unknown</t>
        </is>
      </c>
      <c r="I4" s="46" t="inlineStr">
        <is>
          <t>Yes</t>
        </is>
      </c>
      <c r="J4" s="46" t="inlineStr">
        <is>
          <t>Unknown</t>
        </is>
      </c>
      <c r="K4" s="47" t="n">
        <v>85</v>
      </c>
      <c r="L4" s="46" t="inlineStr">
        <is>
          <t>New</t>
        </is>
      </c>
      <c r="M4" s="48" t="n">
        <v>46195</v>
      </c>
      <c r="N4" s="48" t="n">
        <v>46195</v>
      </c>
    </row>
    <row r="5">
      <c r="A5" s="46" t="inlineStr">
        <is>
          <t>AMWAT Moving Warehousing Storage</t>
        </is>
      </c>
      <c r="B5" s="46" t="inlineStr">
        <is>
          <t>FL</t>
        </is>
      </c>
      <c r="C5" s="46" t="inlineStr">
        <is>
          <t>Warehousing and Storage</t>
        </is>
      </c>
      <c r="D5" s="46" t="inlineStr">
        <is>
          <t>Unknown</t>
        </is>
      </c>
      <c r="E5" s="46" t="inlineStr">
        <is>
          <t>1997</t>
        </is>
      </c>
      <c r="F5" s="46" t="n">
        <v>29</v>
      </c>
      <c r="G5" s="46" t="inlineStr">
        <is>
          <t>Gloria Maria Pugh</t>
        </is>
      </c>
      <c r="H5" s="46" t="inlineStr">
        <is>
          <t>Yes</t>
        </is>
      </c>
      <c r="I5" s="46" t="inlineStr">
        <is>
          <t>Unknown</t>
        </is>
      </c>
      <c r="J5" s="46" t="inlineStr">
        <is>
          <t>Unknown</t>
        </is>
      </c>
      <c r="K5" s="49" t="n">
        <v>50</v>
      </c>
      <c r="L5" s="46" t="inlineStr">
        <is>
          <t>New</t>
        </is>
      </c>
      <c r="M5" s="48" t="n">
        <v>46196</v>
      </c>
      <c r="N5" s="48" t="n">
        <v>46196</v>
      </c>
    </row>
    <row r="6">
      <c r="A6" s="46" t="inlineStr">
        <is>
          <t>All Florida Paper</t>
        </is>
      </c>
      <c r="B6" s="46" t="inlineStr">
        <is>
          <t>FL</t>
        </is>
      </c>
      <c r="C6" s="46" t="inlineStr">
        <is>
          <t>Transportation, Logistics, Supply Chain and Storage</t>
        </is>
      </c>
      <c r="D6" s="46" t="inlineStr">
        <is>
          <t>Private</t>
        </is>
      </c>
      <c r="E6" s="46" t="inlineStr">
        <is>
          <t>1993</t>
        </is>
      </c>
      <c r="F6" s="46" t="n">
        <v>33</v>
      </c>
      <c r="G6" s="46" t="inlineStr">
        <is>
          <t>Armando Caceres</t>
        </is>
      </c>
      <c r="H6" s="46" t="inlineStr">
        <is>
          <t>Yes</t>
        </is>
      </c>
      <c r="I6" s="46" t="inlineStr">
        <is>
          <t>Unknown</t>
        </is>
      </c>
      <c r="J6" s="46" t="inlineStr">
        <is>
          <t>Unknown</t>
        </is>
      </c>
      <c r="K6" s="49" t="n">
        <v>45</v>
      </c>
      <c r="L6" s="46" t="inlineStr">
        <is>
          <t>New</t>
        </is>
      </c>
      <c r="M6" s="48" t="n">
        <v>46195</v>
      </c>
      <c r="N6" s="48" t="n">
        <v>46195</v>
      </c>
    </row>
    <row r="7">
      <c r="A7" s="46" t="inlineStr">
        <is>
          <t>Alternalight llc</t>
        </is>
      </c>
      <c r="B7" s="46" t="inlineStr">
        <is>
          <t>Unknown</t>
        </is>
      </c>
      <c r="C7" s="46" t="inlineStr">
        <is>
          <t>Alternative Energy</t>
        </is>
      </c>
      <c r="D7" s="46" t="inlineStr">
        <is>
          <t>Private</t>
        </is>
      </c>
      <c r="E7" s="46" t="inlineStr">
        <is>
          <t>2006</t>
        </is>
      </c>
      <c r="F7" s="46" t="n">
        <v>20</v>
      </c>
      <c r="G7" s="46" t="inlineStr">
        <is>
          <t>Russell Stidolph</t>
        </is>
      </c>
      <c r="H7" s="46" t="inlineStr">
        <is>
          <t>Yes</t>
        </is>
      </c>
      <c r="I7" s="46" t="inlineStr">
        <is>
          <t>Unknown</t>
        </is>
      </c>
      <c r="J7" s="46" t="inlineStr">
        <is>
          <t>Unknown</t>
        </is>
      </c>
      <c r="K7" s="49" t="n">
        <v>45</v>
      </c>
      <c r="L7" s="46" t="inlineStr">
        <is>
          <t>New</t>
        </is>
      </c>
      <c r="M7" s="48" t="n">
        <v>46196</v>
      </c>
      <c r="N7" s="48" t="n">
        <v>46196</v>
      </c>
    </row>
    <row r="8">
      <c r="A8" s="46" t="inlineStr">
        <is>
          <t>Ameritape, Inc.</t>
        </is>
      </c>
      <c r="B8" s="46" t="inlineStr">
        <is>
          <t>FL</t>
        </is>
      </c>
      <c r="C8" s="46" t="inlineStr">
        <is>
          <t>Automation Machinery Manufacturing</t>
        </is>
      </c>
      <c r="D8" s="46" t="inlineStr">
        <is>
          <t>Private</t>
        </is>
      </c>
      <c r="E8" s="46" t="inlineStr">
        <is>
          <t>1990</t>
        </is>
      </c>
      <c r="F8" s="46" t="n">
        <v>36</v>
      </c>
      <c r="G8" s="46" t="inlineStr">
        <is>
          <t>Renee Soares, Tom Whipple</t>
        </is>
      </c>
      <c r="H8" s="46" t="inlineStr">
        <is>
          <t>No</t>
        </is>
      </c>
      <c r="I8" s="46" t="inlineStr">
        <is>
          <t>Unknown</t>
        </is>
      </c>
      <c r="J8" s="46" t="inlineStr">
        <is>
          <t>Unknown</t>
        </is>
      </c>
      <c r="K8" s="49" t="n">
        <v>40</v>
      </c>
      <c r="L8" s="46" t="inlineStr">
        <is>
          <t>New</t>
        </is>
      </c>
      <c r="M8" s="48" t="n">
        <v>46196</v>
      </c>
      <c r="N8" s="48" t="n">
        <v>46196</v>
      </c>
    </row>
    <row r="9">
      <c r="A9" s="46" t="inlineStr">
        <is>
          <t>Accordis International</t>
        </is>
      </c>
      <c r="B9" s="46" t="inlineStr">
        <is>
          <t>FL</t>
        </is>
      </c>
      <c r="C9" s="46" t="inlineStr">
        <is>
          <t>IT Services and IT Consulting</t>
        </is>
      </c>
      <c r="D9" s="46" t="inlineStr">
        <is>
          <t>Private</t>
        </is>
      </c>
      <c r="E9" s="46" t="inlineStr">
        <is>
          <t>2008</t>
        </is>
      </c>
      <c r="F9" s="46" t="n">
        <v>18</v>
      </c>
      <c r="G9" s="46" t="inlineStr">
        <is>
          <t>Rehan Khan</t>
        </is>
      </c>
      <c r="H9" s="46" t="inlineStr">
        <is>
          <t>Yes</t>
        </is>
      </c>
      <c r="I9" s="46" t="inlineStr">
        <is>
          <t>Unknown</t>
        </is>
      </c>
      <c r="J9" s="46" t="inlineStr">
        <is>
          <t>Unknown</t>
        </is>
      </c>
      <c r="K9" s="50" t="n">
        <v>35</v>
      </c>
      <c r="L9" s="46" t="inlineStr">
        <is>
          <t>New</t>
        </is>
      </c>
      <c r="M9" s="48" t="n">
        <v>46195</v>
      </c>
      <c r="N9" s="48" t="n">
        <v>46195</v>
      </c>
    </row>
    <row r="10">
      <c r="A10" s="46" t="inlineStr">
        <is>
          <t>Acosta</t>
        </is>
      </c>
      <c r="B10" s="46" t="inlineStr">
        <is>
          <t>FL</t>
        </is>
      </c>
      <c r="C10" s="46" t="inlineStr">
        <is>
          <t>Business Services &amp; Supplies</t>
        </is>
      </c>
      <c r="D10" s="46" t="inlineStr">
        <is>
          <t>Unknown</t>
        </is>
      </c>
      <c r="E10" s="46" t="inlineStr">
        <is>
          <t>1927</t>
        </is>
      </c>
      <c r="F10" s="46" t="n">
        <v>99</v>
      </c>
      <c r="G10" s="46" t="inlineStr">
        <is>
          <t>Unknown</t>
        </is>
      </c>
      <c r="H10" s="46" t="inlineStr">
        <is>
          <t>No</t>
        </is>
      </c>
      <c r="I10" s="46" t="inlineStr">
        <is>
          <t>Unknown</t>
        </is>
      </c>
      <c r="J10" s="46" t="inlineStr">
        <is>
          <t>Unknown</t>
        </is>
      </c>
      <c r="K10" s="50" t="n">
        <v>35</v>
      </c>
      <c r="L10" s="46" t="inlineStr">
        <is>
          <t>New</t>
        </is>
      </c>
      <c r="M10" s="48" t="n">
        <v>46195</v>
      </c>
      <c r="N10" s="48" t="n">
        <v>46195</v>
      </c>
    </row>
    <row r="11">
      <c r="A11" s="46" t="inlineStr">
        <is>
          <t>AirQuest Environmental, Inc.</t>
        </is>
      </c>
      <c r="B11" s="46" t="inlineStr">
        <is>
          <t>FL</t>
        </is>
      </c>
      <c r="C11" s="46" t="inlineStr">
        <is>
          <t>Environmental Services</t>
        </is>
      </c>
      <c r="D11" s="46" t="inlineStr">
        <is>
          <t>Unknown</t>
        </is>
      </c>
      <c r="E11" s="46" t="inlineStr">
        <is>
          <t>2002</t>
        </is>
      </c>
      <c r="F11" s="46" t="n">
        <v>24</v>
      </c>
      <c r="G11" s="46" t="inlineStr">
        <is>
          <t>Unknown</t>
        </is>
      </c>
      <c r="H11" s="46" t="inlineStr">
        <is>
          <t>Yes</t>
        </is>
      </c>
      <c r="I11" s="46" t="inlineStr">
        <is>
          <t>Unknown</t>
        </is>
      </c>
      <c r="J11" s="46" t="inlineStr">
        <is>
          <t>Unknown</t>
        </is>
      </c>
      <c r="K11" s="50" t="n">
        <v>35</v>
      </c>
      <c r="L11" s="46" t="inlineStr">
        <is>
          <t>New</t>
        </is>
      </c>
      <c r="M11" s="48" t="n">
        <v>46196</v>
      </c>
      <c r="N11" s="48" t="n">
        <v>46196</v>
      </c>
    </row>
    <row r="12">
      <c r="A12" s="46" t="inlineStr">
        <is>
          <t>Accordion Partners</t>
        </is>
      </c>
      <c r="B12" s="46" t="inlineStr">
        <is>
          <t>New York</t>
        </is>
      </c>
      <c r="C12" s="46" t="inlineStr">
        <is>
          <t>Consulting firm</t>
        </is>
      </c>
      <c r="D12" s="46" t="inlineStr">
        <is>
          <t>Private</t>
        </is>
      </c>
      <c r="E12" s="46" t="inlineStr">
        <is>
          <t>2009</t>
        </is>
      </c>
      <c r="F12" s="46" t="n">
        <v>17</v>
      </c>
      <c r="G12" s="46" t="inlineStr">
        <is>
          <t>Nick Leopard</t>
        </is>
      </c>
      <c r="H12" s="46" t="inlineStr">
        <is>
          <t>Yes</t>
        </is>
      </c>
      <c r="I12" s="46" t="inlineStr">
        <is>
          <t>Unknown</t>
        </is>
      </c>
      <c r="J12" s="46" t="inlineStr">
        <is>
          <t>Unknown</t>
        </is>
      </c>
      <c r="K12" s="50" t="n">
        <v>25</v>
      </c>
      <c r="L12" s="46" t="inlineStr">
        <is>
          <t>New</t>
        </is>
      </c>
      <c r="M12" s="48" t="n">
        <v>46195</v>
      </c>
      <c r="N12" s="48" t="n">
        <v>46195</v>
      </c>
    </row>
    <row r="13">
      <c r="A13" s="46" t="inlineStr">
        <is>
          <t>Allo</t>
        </is>
      </c>
      <c r="B13" s="46" t="inlineStr">
        <is>
          <t>Nebraska</t>
        </is>
      </c>
      <c r="C13" s="46" t="inlineStr">
        <is>
          <t>Telecommunications</t>
        </is>
      </c>
      <c r="D13" s="46" t="inlineStr">
        <is>
          <t>Private</t>
        </is>
      </c>
      <c r="E13" s="46" t="inlineStr">
        <is>
          <t>2003</t>
        </is>
      </c>
      <c r="F13" s="46" t="n">
        <v>23</v>
      </c>
      <c r="G13" s="46" t="inlineStr">
        <is>
          <t>Brad Moline</t>
        </is>
      </c>
      <c r="H13" s="46" t="inlineStr">
        <is>
          <t>No</t>
        </is>
      </c>
      <c r="I13" s="46" t="inlineStr">
        <is>
          <t>Unknown</t>
        </is>
      </c>
      <c r="J13" s="46" t="inlineStr">
        <is>
          <t>Unknown</t>
        </is>
      </c>
      <c r="K13" s="50" t="n">
        <v>20</v>
      </c>
      <c r="L13" s="46" t="inlineStr">
        <is>
          <t>New</t>
        </is>
      </c>
      <c r="M13" s="48" t="n">
        <v>46195</v>
      </c>
      <c r="N13" s="48" t="n">
        <v>46195</v>
      </c>
    </row>
    <row r="14">
      <c r="A14" s="46" t="inlineStr">
        <is>
          <t>Affinity Beverages LLC</t>
        </is>
      </c>
      <c r="B14" s="46" t="inlineStr">
        <is>
          <t>FL</t>
        </is>
      </c>
      <c r="C14" s="46" t="inlineStr">
        <is>
          <t>Food &amp; Beverages</t>
        </is>
      </c>
      <c r="D14" s="46" t="inlineStr">
        <is>
          <t>Unknown</t>
        </is>
      </c>
      <c r="E14" s="46" t="inlineStr">
        <is>
          <t>2014</t>
        </is>
      </c>
      <c r="F14" s="46" t="n">
        <v>12</v>
      </c>
      <c r="G14" s="46" t="inlineStr">
        <is>
          <t>Stanley Rottell</t>
        </is>
      </c>
      <c r="H14" s="46" t="inlineStr">
        <is>
          <t>No</t>
        </is>
      </c>
      <c r="I14" s="46" t="inlineStr">
        <is>
          <t>Unknown</t>
        </is>
      </c>
      <c r="J14" s="46" t="inlineStr">
        <is>
          <t>Unknown</t>
        </is>
      </c>
      <c r="K14" s="50" t="n">
        <v>10</v>
      </c>
      <c r="L14" s="46" t="inlineStr">
        <is>
          <t>New</t>
        </is>
      </c>
      <c r="M14" s="48" t="n">
        <v>46195</v>
      </c>
      <c r="N14" s="48" t="n">
        <v>46195</v>
      </c>
    </row>
    <row r="15">
      <c r="A15" s="46" t="inlineStr">
        <is>
          <t>Accelerate Capital Group</t>
        </is>
      </c>
      <c r="B15" s="46" t="inlineStr">
        <is>
          <t>Unknown</t>
        </is>
      </c>
      <c r="C15" s="46" t="inlineStr">
        <is>
          <t>Financial Services</t>
        </is>
      </c>
      <c r="D15" s="46" t="inlineStr">
        <is>
          <t>Unknown</t>
        </is>
      </c>
      <c r="E15" s="46" t="inlineStr">
        <is>
          <t>2008</t>
        </is>
      </c>
      <c r="F15" s="46" t="n">
        <v>18</v>
      </c>
      <c r="G15" s="46" t="inlineStr">
        <is>
          <t>Alexis Graham, Ian Tracy</t>
        </is>
      </c>
      <c r="H15" s="46" t="inlineStr">
        <is>
          <t>Unknown</t>
        </is>
      </c>
      <c r="I15" s="46" t="inlineStr">
        <is>
          <t>Unknown</t>
        </is>
      </c>
      <c r="J15" s="46" t="inlineStr">
        <is>
          <t>Unknown</t>
        </is>
      </c>
      <c r="K15" s="50" t="n">
        <v>10</v>
      </c>
      <c r="L15" s="46" t="inlineStr">
        <is>
          <t>New</t>
        </is>
      </c>
      <c r="M15" s="48" t="n">
        <v>46195</v>
      </c>
      <c r="N15" s="48" t="n">
        <v>46195</v>
      </c>
    </row>
    <row r="16">
      <c r="A16" s="46" t="inlineStr">
        <is>
          <t>2600Hz</t>
        </is>
      </c>
      <c r="B16" s="46" t="inlineStr">
        <is>
          <t>California</t>
        </is>
      </c>
      <c r="C16" s="46" t="inlineStr">
        <is>
          <t>Telecommunications</t>
        </is>
      </c>
      <c r="D16" s="46" t="inlineStr">
        <is>
          <t>Private</t>
        </is>
      </c>
      <c r="E16" s="46" t="inlineStr">
        <is>
          <t>2010</t>
        </is>
      </c>
      <c r="F16" s="46" t="n">
        <v>16</v>
      </c>
      <c r="G16" s="46" t="inlineStr">
        <is>
          <t>Unknown</t>
        </is>
      </c>
      <c r="H16" s="46" t="inlineStr">
        <is>
          <t>Unknown</t>
        </is>
      </c>
      <c r="I16" s="46" t="inlineStr">
        <is>
          <t>Unknown</t>
        </is>
      </c>
      <c r="J16" s="46" t="inlineStr">
        <is>
          <t>Unknown</t>
        </is>
      </c>
      <c r="K16" s="50" t="n">
        <v>10</v>
      </c>
      <c r="L16" s="46" t="inlineStr">
        <is>
          <t>New</t>
        </is>
      </c>
      <c r="M16" s="48" t="n">
        <v>46195</v>
      </c>
      <c r="N16" s="48" t="n">
        <v>46195</v>
      </c>
    </row>
  </sheetData>
  <autoFilter ref="A1:N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0" customWidth="1" min="3" max="3"/>
    <col width="10" customWidth="1" min="4" max="4"/>
    <col width="55" customWidth="1" min="5" max="5"/>
    <col width="55" customWidth="1" min="6" max="6"/>
    <col width="45" customWidth="1" min="7" max="7"/>
    <col width="14" customWidth="1" min="8" max="8"/>
    <col width="35" customWidth="1" min="9" max="9"/>
    <col hidden="1" min="10" max="10"/>
  </cols>
  <sheetData>
    <row r="1">
      <c r="A1" s="45" t="inlineStr">
        <is>
          <t>Rank</t>
        </is>
      </c>
      <c r="B1" s="45" t="inlineStr">
        <is>
          <t>Company Name</t>
        </is>
      </c>
      <c r="C1" s="45" t="inlineStr">
        <is>
          <t>Score</t>
        </is>
      </c>
      <c r="D1" s="45" t="inlineStr">
        <is>
          <t>State</t>
        </is>
      </c>
      <c r="E1" s="45" t="inlineStr">
        <is>
          <t>Why Selected</t>
        </is>
      </c>
      <c r="F1" s="45" t="inlineStr">
        <is>
          <t>Evidence Summary</t>
        </is>
      </c>
      <c r="G1" s="45" t="inlineStr">
        <is>
          <t>One-line Reason</t>
        </is>
      </c>
      <c r="H1" s="45" t="inlineStr">
        <is>
          <t>Feedback</t>
        </is>
      </c>
      <c r="I1" s="45" t="inlineStr">
        <is>
          <t>Notes</t>
        </is>
      </c>
      <c r="J1" s="45" t="inlineStr">
        <is>
          <t>_candidate_id</t>
        </is>
      </c>
    </row>
    <row r="2" ht="90" customHeight="1">
      <c r="A2" s="51" t="n">
        <v>1</v>
      </c>
      <c r="B2" s="52" t="inlineStr">
        <is>
          <t>ATL Diesel</t>
        </is>
      </c>
      <c r="C2" s="53" t="n">
        <v>125</v>
      </c>
      <c r="D2" s="52" t="inlineStr">
        <is>
          <t>Texas</t>
        </is>
      </c>
      <c r="E2" s="52" t="inlineStr">
        <is>
          <t>ATL Diesel is a well-established company with 53 years in the engines and power transmission equipment manufacturing industry. Its family-owned status and high seller readiness score of 125 indicate a strong potential for acquisition, especially as the founder approaches retirement age.</t>
        </is>
      </c>
      <c r="F2" s="52" t="inlineStr">
        <is>
          <t>The evidence supporting this selection is limited, but the high seller readiness score and the company's long history suggest a favorable acquisition opportunity.</t>
        </is>
      </c>
      <c r="G2" s="52" t="inlineStr">
        <is>
          <t>Established family-owned manufacturer with high seller readiness score.</t>
        </is>
      </c>
      <c r="H2" s="52" t="inlineStr">
        <is>
          <t>New</t>
        </is>
      </c>
      <c r="I2" s="52" t="inlineStr"/>
      <c r="J2" s="52" t="n">
        <v>7</v>
      </c>
    </row>
    <row r="3" ht="90" customHeight="1">
      <c r="A3" s="51" t="n">
        <v>2</v>
      </c>
      <c r="B3" s="52" t="inlineStr">
        <is>
          <t>ATL Diesel</t>
        </is>
      </c>
      <c r="C3" s="53" t="n">
        <v>115</v>
      </c>
      <c r="D3" s="52" t="inlineStr">
        <is>
          <t>FL</t>
        </is>
      </c>
      <c r="E3" s="52" t="inlineStr">
        <is>
          <t>ATL Diesel is a well-established company with 53 years in the Individual and Family Services industry, indicating stability and experience. The founder, Dan Bendever, is likely nearing retirement age, which may motivate a sale, and the high seller readiness score of 115 suggests the company is prepared for acquisition.</t>
        </is>
      </c>
      <c r="F3" s="52" t="inlineStr">
        <is>
          <t>The evidence is limited, but the company's long history and high seller readiness score support its selection as an acquisition target.</t>
        </is>
      </c>
      <c r="G3" s="52" t="inlineStr">
        <is>
          <t>Established company with high seller readiness and potential for acquisition.</t>
        </is>
      </c>
      <c r="H3" s="52" t="inlineStr">
        <is>
          <t>New</t>
        </is>
      </c>
      <c r="I3" s="52" t="inlineStr"/>
      <c r="J3" s="52" t="n">
        <v>2</v>
      </c>
    </row>
    <row r="4" ht="90" customHeight="1">
      <c r="A4" s="51" t="n">
        <v>3</v>
      </c>
      <c r="B4" s="52" t="inlineStr">
        <is>
          <t>ALDI</t>
        </is>
      </c>
      <c r="C4" s="53" t="n">
        <v>85</v>
      </c>
      <c r="D4" s="52" t="inlineStr">
        <is>
          <t>Unknown</t>
        </is>
      </c>
      <c r="E4" s="52" t="inlineStr">
        <is>
          <t>ALDI is a strong acquisition target due to its long-standing family ownership and high seller readiness score of 85, indicating a favorable disposition towards potential buyers. With 80 years in the retail industry, ALDI has established a solid market presence and brand loyalty.</t>
        </is>
      </c>
      <c r="F4" s="52" t="inlineStr">
        <is>
          <t>The company was founded by Karl and Theo Albrecht in 1946 and has remained family-owned, with a significant seller readiness score of 85. The split into two groups in 1960 further emphasizes the continuity of family ownership.</t>
        </is>
      </c>
      <c r="G4" s="52" t="inlineStr">
        <is>
          <t>ALDI's strong family ownership and high seller readiness make it an attractive acquisition target.</t>
        </is>
      </c>
      <c r="H4" s="52" t="inlineStr">
        <is>
          <t>New</t>
        </is>
      </c>
      <c r="I4" s="52" t="inlineStr"/>
      <c r="J4" s="52" t="n">
        <v>10</v>
      </c>
    </row>
    <row r="5" ht="90" customHeight="1">
      <c r="A5" s="51" t="n">
        <v>4</v>
      </c>
      <c r="B5" s="52" t="inlineStr">
        <is>
          <t>AMWAT Moving Warehousing Storage</t>
        </is>
      </c>
      <c r="C5" s="54" t="n">
        <v>50</v>
      </c>
      <c r="D5" s="52" t="inlineStr">
        <is>
          <t>FL</t>
        </is>
      </c>
      <c r="E5" s="52" t="inlineStr">
        <is>
          <t>AMWAT Moving Warehousing Storage is a strong acquisition target due to its long-standing presence in the industry, having been operational for over 25 years. The company is led by its founder, Gloria Maria Pugh, which may indicate stability and a strong vision for the business.</t>
        </is>
      </c>
      <c r="F5" s="52" t="inlineStr">
        <is>
          <t>The company was founded in 1997 by Gloria Maria Pugh, who currently serves as President &amp; CEO, and is explicitly described as locally owned.</t>
        </is>
      </c>
      <c r="G5" s="52" t="inlineStr">
        <is>
          <t>Established warehousing company with over 25 years of operational experience.</t>
        </is>
      </c>
      <c r="H5" s="52" t="inlineStr">
        <is>
          <t>New</t>
        </is>
      </c>
      <c r="I5" s="52" t="inlineStr"/>
      <c r="J5" s="52" t="n">
        <v>15</v>
      </c>
    </row>
    <row r="6" ht="90" customHeight="1">
      <c r="A6" s="51" t="n">
        <v>5</v>
      </c>
      <c r="B6" s="52" t="inlineStr">
        <is>
          <t>All Florida Paper</t>
        </is>
      </c>
      <c r="C6" s="54" t="n">
        <v>45</v>
      </c>
      <c r="D6" s="52" t="inlineStr">
        <is>
          <t>FL</t>
        </is>
      </c>
      <c r="E6" s="52" t="inlineStr">
        <is>
          <t>All Florida Paper has a long-standing presence in the transportation, logistics, supply chain, and storage industry, having been founded in 1993. With 33 years in business, the company demonstrates stability and experience, making it a potentially attractive acquisition target.</t>
        </is>
      </c>
      <c r="F6" s="52" t="inlineStr">
        <is>
          <t>The Seller Readiness Score of 45 indicates a moderate level of preparedness for a sale, although no additional evidence is provided to further support this selection.</t>
        </is>
      </c>
      <c r="G6" s="52" t="inlineStr">
        <is>
          <t>Established logistics company with 33 years of experience and moderate seller readiness.</t>
        </is>
      </c>
      <c r="H6" s="52" t="inlineStr">
        <is>
          <t>New</t>
        </is>
      </c>
      <c r="I6" s="52" t="inlineStr"/>
      <c r="J6" s="52" t="n">
        <v>5</v>
      </c>
    </row>
    <row r="7" ht="90" customHeight="1">
      <c r="A7" s="51" t="n">
        <v>6</v>
      </c>
      <c r="B7" s="52" t="inlineStr">
        <is>
          <t>Alternalight llc</t>
        </is>
      </c>
      <c r="C7" s="54" t="n">
        <v>45</v>
      </c>
      <c r="D7" s="52" t="inlineStr">
        <is>
          <t>Unknown</t>
        </is>
      </c>
      <c r="E7" s="52" t="inlineStr">
        <is>
          <t>Alternalight LLC is a strong acquisition target due to its 20 years of experience in the alternative energy sector and its founder-led management under Russell Stidolph. The company's established presence and private ownership suggest potential for strategic growth and innovation in a rapidly evolving industry.</t>
        </is>
      </c>
      <c r="F7" s="52" t="inlineStr">
        <is>
          <t>The company was founded in 2006 by Russell Stidolph, who currently serves as Managing Director, indicating strong leadership continuity. The Seller Readiness Score of 45 suggests a moderate level of preparedness for acquisition.</t>
        </is>
      </c>
      <c r="G7" s="52" t="inlineStr">
        <is>
          <t>Alternalight LLC offers 20 years of experience in alternative energy under strong founder leadership.</t>
        </is>
      </c>
      <c r="H7" s="52" t="inlineStr">
        <is>
          <t>New</t>
        </is>
      </c>
      <c r="I7" s="52" t="inlineStr"/>
      <c r="J7" s="52" t="n">
        <v>13</v>
      </c>
    </row>
    <row r="8" ht="90" customHeight="1">
      <c r="A8" s="51" t="n">
        <v>7</v>
      </c>
      <c r="B8" s="52" t="inlineStr">
        <is>
          <t>Ameritape, Inc.</t>
        </is>
      </c>
      <c r="C8" s="54" t="n">
        <v>40</v>
      </c>
      <c r="D8" s="52" t="inlineStr">
        <is>
          <t>FL</t>
        </is>
      </c>
      <c r="E8" s="52" t="inlineStr">
        <is>
          <t>Ameritape, Inc. is a well-established company with 36 years in the automation machinery manufacturing industry, indicating stability and experience. The company's focus on pressure-sensitive adhesive tape products positions it in a niche market, potentially attractive for strategic acquisition.</t>
        </is>
      </c>
      <c r="F8" s="52" t="inlineStr">
        <is>
          <t>Ameritape, Inc. was founded in 1990 and has been privately owned since two employees purchased it in 2008. The company currently employs 18 people, suggesting a manageable size for acquisition.</t>
        </is>
      </c>
      <c r="G8" s="52" t="inlineStr">
        <is>
          <t>Ameritape, Inc. is a stable, niche player in automation machinery manufacturing.</t>
        </is>
      </c>
      <c r="H8" s="52" t="inlineStr">
        <is>
          <t>New</t>
        </is>
      </c>
      <c r="I8" s="52" t="inlineStr"/>
      <c r="J8" s="52" t="n">
        <v>14</v>
      </c>
    </row>
    <row r="9" ht="90" customHeight="1">
      <c r="A9" s="51" t="n">
        <v>8</v>
      </c>
      <c r="B9" s="52" t="inlineStr">
        <is>
          <t>Accordis International</t>
        </is>
      </c>
      <c r="C9" s="55" t="n">
        <v>35</v>
      </c>
      <c r="D9" s="52" t="inlineStr">
        <is>
          <t>FL</t>
        </is>
      </c>
      <c r="E9" s="52" t="inlineStr">
        <is>
          <t>Accordis International has been in business for 18 years, indicating stability and experience in the IT Services and IT Consulting industry. The founder-led structure may provide a strong vision and leadership continuity, making it an attractive acquisition target.</t>
        </is>
      </c>
      <c r="F9" s="52" t="inlineStr">
        <is>
          <t>The evidence is limited, with no additional information captured, but the company's long tenure and founder-led status support its potential as an acquisition target.</t>
        </is>
      </c>
      <c r="G9" s="52" t="inlineStr">
        <is>
          <t>Accordis International is a stable, experienced IT services firm with founder-led leadership.</t>
        </is>
      </c>
      <c r="H9" s="52" t="inlineStr">
        <is>
          <t>New</t>
        </is>
      </c>
      <c r="I9" s="52" t="inlineStr"/>
      <c r="J9" s="52" t="n">
        <v>8</v>
      </c>
    </row>
    <row r="10" ht="90" customHeight="1">
      <c r="A10" s="51" t="n">
        <v>9</v>
      </c>
      <c r="B10" s="52" t="inlineStr">
        <is>
          <t>Acosta</t>
        </is>
      </c>
      <c r="C10" s="55" t="n">
        <v>35</v>
      </c>
      <c r="D10" s="52" t="inlineStr">
        <is>
          <t>FL</t>
        </is>
      </c>
      <c r="E10" s="52" t="inlineStr">
        <is>
          <t>Acosta is a well-established company with 99 years in the business services and supplies industry, indicating stability and experience. The current leadership under CEO Darian Pickett suggests a potential for continued growth and innovation, making it an attractive acquisition target.</t>
        </is>
      </c>
      <c r="F10" s="52" t="inlineStr">
        <is>
          <t>Acosta Sales &amp; Marketing was founded in 1927, and the current CEO is Darian Pickett, indicating a strong leadership structure. However, details about family ownership and the founder's background are limited.</t>
        </is>
      </c>
      <c r="G10" s="52" t="inlineStr">
        <is>
          <t>Acosta's long history and current leadership make it a compelling acquisition target.</t>
        </is>
      </c>
      <c r="H10" s="52" t="inlineStr">
        <is>
          <t>New</t>
        </is>
      </c>
      <c r="I10" s="52" t="inlineStr"/>
      <c r="J10" s="52" t="n">
        <v>11</v>
      </c>
    </row>
    <row r="11" ht="90" customHeight="1">
      <c r="A11" s="51" t="n">
        <v>10</v>
      </c>
      <c r="B11" s="52" t="inlineStr">
        <is>
          <t>AirQuest Environmental, Inc.</t>
        </is>
      </c>
      <c r="C11" s="55" t="n">
        <v>35</v>
      </c>
      <c r="D11" s="52" t="inlineStr">
        <is>
          <t>FL</t>
        </is>
      </c>
      <c r="E11" s="52" t="inlineStr">
        <is>
          <t>AirQuest Environmental, Inc. is a strong acquisition target due to its established presence in the environmental services industry, having been in business for 24 years. The company's niche focus on industrial hygiene and environmental consulting positions it well for growth and potential synergies with larger firms.</t>
        </is>
      </c>
      <c r="F11" s="52" t="inlineStr">
        <is>
          <t>AirQuest was incorporated in 2002 as a niche industrial hygiene and environmental consulting firm, indicating a specialized market presence. The Seller Readiness Score of 35 suggests a moderate level of preparedness for acquisition.</t>
        </is>
      </c>
      <c r="G11" s="52" t="inlineStr">
        <is>
          <t>Established environmental services firm with 24 years of niche expertise.</t>
        </is>
      </c>
      <c r="H11" s="52" t="inlineStr">
        <is>
          <t>New</t>
        </is>
      </c>
      <c r="I11" s="52" t="inlineStr"/>
      <c r="J11" s="52" t="n">
        <v>12</v>
      </c>
    </row>
  </sheetData>
  <dataValidations count="1">
    <dataValidation sqref="H2 H3 H4 H5 H6 H7 H8 H9 H10 H11" showDropDown="0" showInputMessage="0" showErrorMessage="0" allowBlank="1" type="list">
      <formula1>"New,Pursuing,Passed,Bad Data"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2026-06-23T11:22:38Z</dcterms:created>
  <dcterms:modified xmlns:dcterms="http://purl.org/dc/terms/" xmlns:xsi="http://www.w3.org/2001/XMLSchema-instance" xsi:type="dcterms:W3CDTF">2026-06-23T11:22:38Z</dcterms:modified>
</cp:coreProperties>
</file>