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anies_DB" sheetId="2" state="visible" r:id="rId2"/>
    <sheet xmlns:r="http://schemas.openxmlformats.org/officeDocument/2006/relationships" name="Top_Companies" sheetId="3" state="visible" r:id="rId3"/>
  </sheets>
  <definedNames>
    <definedName name="_xlnm._FilterDatabase" localSheetId="0" hidden="1">'Dashboard'!$A$28:$K$28</definedName>
    <definedName name="_xlnm._FilterDatabase" localSheetId="1" hidden="1">'Companies_DB'!$A$1:$N$1</definedName>
  </definedNames>
  <calcPr calcId="124519" fullCalcOnLoad="1"/>
</workbook>
</file>

<file path=xl/styles.xml><?xml version="1.0" encoding="utf-8"?>
<styleSheet xmlns="http://schemas.openxmlformats.org/spreadsheetml/2006/main">
  <numFmts count="1">
    <numFmt numFmtId="164" formatCode="yyyy-mm-dd"/>
  </numFmts>
  <fonts count="16">
    <font>
      <name val="Calibri"/>
      <family val="2"/>
      <color theme="1"/>
      <sz val="11"/>
      <scheme val="minor"/>
    </font>
    <font>
      <name val="Calibri"/>
      <b val="1"/>
      <color rgb="00FFFFFF"/>
      <sz val="18"/>
    </font>
    <font>
      <name val="Calibri"/>
      <i val="1"/>
      <color rgb="00D1D9E6"/>
      <sz val="10"/>
    </font>
    <font>
      <name val="Calibri"/>
      <b val="1"/>
      <color rgb="00FFFFFF"/>
      <sz val="10"/>
    </font>
    <font>
      <name val="Calibri"/>
      <color rgb="00FFFFFF"/>
      <sz val="10"/>
    </font>
    <font>
      <name val="Calibri"/>
      <b val="1"/>
      <color rgb="00FFFFFF"/>
      <sz val="11"/>
    </font>
    <font>
      <name val="Calibri"/>
      <color rgb="00424242"/>
      <sz val="10"/>
    </font>
    <font>
      <name val="Calibri"/>
      <b val="1"/>
      <color rgb="001B2A4A"/>
      <sz val="24"/>
    </font>
    <font>
      <name val="Calibri"/>
      <i val="1"/>
      <color rgb="00616161"/>
      <sz val="9"/>
    </font>
    <font>
      <name val="Calibri"/>
      <color rgb="00FFFFFF"/>
      <sz val="9"/>
    </font>
    <font>
      <name val="Calibri"/>
      <sz val="9"/>
    </font>
    <font>
      <name val="Calibri"/>
      <b val="1"/>
      <sz val="10"/>
    </font>
    <font>
      <name val="Calibri"/>
      <sz val="10"/>
    </font>
    <font>
      <name val="Calibri"/>
      <b val="1"/>
      <color rgb="001F7A1F"/>
      <sz val="10"/>
    </font>
    <font>
      <name val="Calibri"/>
      <b val="1"/>
      <color rgb="001565C0"/>
      <sz val="10"/>
    </font>
    <font>
      <name val="Calibri"/>
      <b val="1"/>
      <color rgb="009E9E9E"/>
      <sz val="10"/>
    </font>
  </fonts>
  <fills count="16">
    <fill>
      <patternFill/>
    </fill>
    <fill>
      <patternFill patternType="gray125"/>
    </fill>
    <fill>
      <patternFill patternType="solid">
        <fgColor rgb="001B2A4A"/>
        <bgColor rgb="001B2A4A"/>
      </patternFill>
    </fill>
    <fill>
      <patternFill patternType="solid">
        <fgColor rgb="002E7D8E"/>
        <bgColor rgb="002E7D8E"/>
      </patternFill>
    </fill>
    <fill>
      <patternFill patternType="solid">
        <fgColor rgb="005B3A8E"/>
        <bgColor rgb="005B3A8E"/>
      </patternFill>
    </fill>
    <fill>
      <patternFill patternType="solid">
        <fgColor rgb="001565C0"/>
        <bgColor rgb="001565C0"/>
      </patternFill>
    </fill>
    <fill>
      <patternFill patternType="solid">
        <fgColor rgb="002E7D32"/>
        <bgColor rgb="002E7D32"/>
      </patternFill>
    </fill>
    <fill>
      <patternFill patternType="solid">
        <fgColor rgb="00DCE9F9"/>
        <bgColor rgb="00DCE9F9"/>
      </patternFill>
    </fill>
    <fill>
      <patternFill patternType="solid">
        <fgColor rgb="00DCEFD8"/>
        <bgColor rgb="00DCEFD8"/>
      </patternFill>
    </fill>
    <fill>
      <patternFill patternType="solid">
        <fgColor rgb="00FCF1C9"/>
        <bgColor rgb="00FCF1C9"/>
      </patternFill>
    </fill>
    <fill>
      <patternFill patternType="solid">
        <fgColor rgb="00E6DEF2"/>
        <bgColor rgb="00E6DEF2"/>
      </patternFill>
    </fill>
    <fill>
      <patternFill patternType="solid">
        <fgColor rgb="00DCEAF7"/>
        <bgColor rgb="00DCEAF7"/>
      </patternFill>
    </fill>
    <fill>
      <patternFill patternType="solid">
        <fgColor rgb="00EFF3E6"/>
        <bgColor rgb="00EFF3E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3">
    <border>
      <left/>
      <right/>
      <top/>
      <bottom/>
      <diagonal/>
    </border>
    <border>
      <right style="thin">
        <color rgb="003D4A6B"/>
      </right>
    </border>
    <border>
      <bottom style="thin">
        <color rgb="00E0E0E0"/>
      </bottom>
    </border>
  </borders>
  <cellStyleXfs count="1">
    <xf numFmtId="0" fontId="0" fillId="0" borderId="0"/>
  </cellStyleXfs>
  <cellXfs count="58">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3" fillId="2" borderId="0" applyAlignment="1" pivotButton="0" quotePrefix="0" xfId="0">
      <alignment horizontal="left" vertical="center"/>
    </xf>
    <xf numFmtId="0" fontId="0" fillId="2" borderId="1" pivotButton="0" quotePrefix="0" xfId="0"/>
    <xf numFmtId="0" fontId="4" fillId="2" borderId="0" applyAlignment="1" pivotButton="0" quotePrefix="0" xfId="0">
      <alignment horizontal="left" vertical="center"/>
    </xf>
    <xf numFmtId="0" fontId="2" fillId="2" borderId="0" applyAlignment="1" pivotButton="0" quotePrefix="0" xfId="0">
      <alignment horizontal="left" vertical="center" indent="1"/>
    </xf>
    <xf numFmtId="0" fontId="5" fillId="2" borderId="0" applyAlignment="1" pivotButton="0" quotePrefix="0" xfId="0">
      <alignment horizontal="left" vertical="center"/>
    </xf>
    <xf numFmtId="0" fontId="3" fillId="3" borderId="0" applyAlignment="1" pivotButton="0" quotePrefix="0" xfId="0">
      <alignment horizontal="left" vertical="center" indent="1"/>
    </xf>
    <xf numFmtId="0" fontId="3" fillId="4" borderId="0" applyAlignment="1" pivotButton="0" quotePrefix="0" xfId="0">
      <alignment horizontal="left" vertical="center" indent="1"/>
    </xf>
    <xf numFmtId="0" fontId="3" fillId="5" borderId="0" applyAlignment="1" pivotButton="0" quotePrefix="0" xfId="0">
      <alignment horizontal="left" vertical="center" indent="1"/>
    </xf>
    <xf numFmtId="0" fontId="3" fillId="6" borderId="0" applyAlignment="1" pivotButton="0" quotePrefix="0" xfId="0">
      <alignment horizontal="left" vertical="center" indent="1"/>
    </xf>
    <xf numFmtId="0" fontId="6" fillId="7" borderId="0" applyAlignment="1" pivotButton="0" quotePrefix="0" xfId="0">
      <alignment horizontal="left" vertical="center" indent="1"/>
    </xf>
    <xf numFmtId="0" fontId="0" fillId="7" borderId="0" pivotButton="0" quotePrefix="0" xfId="0"/>
    <xf numFmtId="0" fontId="6" fillId="8" borderId="0" applyAlignment="1" pivotButton="0" quotePrefix="0" xfId="0">
      <alignment horizontal="left" vertical="center" indent="1"/>
    </xf>
    <xf numFmtId="0" fontId="0" fillId="8" borderId="0" pivotButton="0" quotePrefix="0" xfId="0"/>
    <xf numFmtId="0" fontId="6" fillId="9" borderId="0" applyAlignment="1" pivotButton="0" quotePrefix="0" xfId="0">
      <alignment horizontal="left" vertical="center" indent="1"/>
    </xf>
    <xf numFmtId="0" fontId="0" fillId="9" borderId="0" pivotButton="0" quotePrefix="0" xfId="0"/>
    <xf numFmtId="0" fontId="6" fillId="10" borderId="0" applyAlignment="1" pivotButton="0" quotePrefix="0" xfId="0">
      <alignment horizontal="left" vertical="center" indent="1"/>
    </xf>
    <xf numFmtId="0" fontId="0" fillId="10" borderId="0" pivotButton="0" quotePrefix="0" xfId="0"/>
    <xf numFmtId="0" fontId="6" fillId="11" borderId="0" applyAlignment="1" pivotButton="0" quotePrefix="0" xfId="0">
      <alignment horizontal="left" vertical="center" indent="1"/>
    </xf>
    <xf numFmtId="0" fontId="0" fillId="11" borderId="0" pivotButton="0" quotePrefix="0" xfId="0"/>
    <xf numFmtId="0" fontId="7" fillId="7" borderId="0" applyAlignment="1" pivotButton="0" quotePrefix="0" xfId="0">
      <alignment horizontal="left" vertical="center" indent="1"/>
    </xf>
    <xf numFmtId="0" fontId="7" fillId="8" borderId="0" applyAlignment="1" pivotButton="0" quotePrefix="0" xfId="0">
      <alignment horizontal="left" vertical="center" indent="1"/>
    </xf>
    <xf numFmtId="0" fontId="7" fillId="9" borderId="0" applyAlignment="1" pivotButton="0" quotePrefix="0" xfId="0">
      <alignment horizontal="left" vertical="center" indent="1"/>
    </xf>
    <xf numFmtId="0" fontId="7" fillId="10" borderId="0" applyAlignment="1" pivotButton="0" quotePrefix="0" xfId="0">
      <alignment horizontal="left" vertical="center" indent="1"/>
    </xf>
    <xf numFmtId="0" fontId="7" fillId="11"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8" fillId="9" borderId="0" applyAlignment="1" pivotButton="0" quotePrefix="0" xfId="0">
      <alignment horizontal="left" vertical="center" indent="1"/>
    </xf>
    <xf numFmtId="0" fontId="8" fillId="10" borderId="0" applyAlignment="1" pivotButton="0" quotePrefix="0" xfId="0">
      <alignment horizontal="left" vertical="center" indent="1"/>
    </xf>
    <xf numFmtId="0" fontId="8" fillId="11" borderId="0" applyAlignment="1" pivotButton="0" quotePrefix="0" xfId="0">
      <alignment horizontal="left" vertical="center" indent="1"/>
    </xf>
    <xf numFmtId="0" fontId="9" fillId="0" borderId="0" pivotButton="0" quotePrefix="0" xfId="0"/>
    <xf numFmtId="0" fontId="5" fillId="2" borderId="0" applyAlignment="1" pivotButton="0" quotePrefix="0" xfId="0">
      <alignment horizontal="left" vertical="center" indent="1"/>
    </xf>
    <xf numFmtId="0" fontId="10" fillId="12" borderId="0" applyAlignment="1" pivotButton="0" quotePrefix="0" xfId="0">
      <alignment vertical="center" wrapText="1" indent="1"/>
    </xf>
    <xf numFmtId="0" fontId="0" fillId="12" borderId="0" pivotButton="0" quotePrefix="0" xfId="0"/>
    <xf numFmtId="0" fontId="3" fillId="2" borderId="0" applyAlignment="1" pivotButton="0" quotePrefix="0" xfId="0">
      <alignment horizontal="center" vertical="center" wrapText="1"/>
    </xf>
    <xf numFmtId="0" fontId="11" fillId="0" borderId="0" applyAlignment="1" pivotButton="0" quotePrefix="0" xfId="0">
      <alignment horizontal="center" vertical="center"/>
    </xf>
    <xf numFmtId="0" fontId="12" fillId="0" borderId="2" applyAlignment="1" pivotButton="0" quotePrefix="0" xfId="0">
      <alignment vertical="center" wrapText="1"/>
    </xf>
    <xf numFmtId="0" fontId="12" fillId="0" borderId="2" applyAlignment="1" pivotButton="0" quotePrefix="0" xfId="0">
      <alignment vertical="center"/>
    </xf>
    <xf numFmtId="0" fontId="12" fillId="0" borderId="2" applyAlignment="1" pivotButton="0" quotePrefix="0" xfId="0">
      <alignment horizontal="center" vertical="center"/>
    </xf>
    <xf numFmtId="0" fontId="11" fillId="13" borderId="2" applyAlignment="1" pivotButton="0" quotePrefix="0" xfId="0">
      <alignment horizontal="center" vertical="center"/>
    </xf>
    <xf numFmtId="0" fontId="13" fillId="0" borderId="2" applyAlignment="1" pivotButton="0" quotePrefix="0" xfId="0">
      <alignment vertical="center"/>
    </xf>
    <xf numFmtId="0" fontId="11" fillId="14" borderId="2" applyAlignment="1" pivotButton="0" quotePrefix="0" xfId="0">
      <alignment horizontal="center" vertical="center"/>
    </xf>
    <xf numFmtId="0" fontId="14" fillId="0" borderId="2" applyAlignment="1" pivotButton="0" quotePrefix="0" xfId="0">
      <alignment vertical="center"/>
    </xf>
    <xf numFmtId="0" fontId="15" fillId="0" borderId="2" applyAlignment="1" pivotButton="0" quotePrefix="0" xfId="0">
      <alignment vertical="center"/>
    </xf>
    <xf numFmtId="0" fontId="11" fillId="15" borderId="2" applyAlignment="1" pivotButton="0" quotePrefix="0" xfId="0">
      <alignment horizontal="center" vertical="center"/>
    </xf>
    <xf numFmtId="0" fontId="3" fillId="2" borderId="0" applyAlignment="1" pivotButton="0" quotePrefix="0" xfId="0">
      <alignment horizontal="center" wrapText="1"/>
    </xf>
    <xf numFmtId="0" fontId="12" fillId="0" borderId="2" pivotButton="0" quotePrefix="0" xfId="0"/>
    <xf numFmtId="0" fontId="12" fillId="13" borderId="2" pivotButton="0" quotePrefix="0" xfId="0"/>
    <xf numFmtId="164" fontId="12" fillId="0" borderId="2" pivotButton="0" quotePrefix="0" xfId="0"/>
    <xf numFmtId="0" fontId="12" fillId="14" borderId="2" pivotButton="0" quotePrefix="0" xfId="0"/>
    <xf numFmtId="0" fontId="12" fillId="15" borderId="2" pivotButton="0" quotePrefix="0" xfId="0"/>
    <xf numFmtId="0" fontId="11" fillId="0" borderId="0" pivotButton="0" quotePrefix="0" xfId="0"/>
    <xf numFmtId="0" fontId="12" fillId="0" borderId="2" applyAlignment="1" pivotButton="0" quotePrefix="0" xfId="0">
      <alignment vertical="top" wrapText="1"/>
    </xf>
    <xf numFmtId="0" fontId="11" fillId="13" borderId="2" applyAlignment="1" pivotButton="0" quotePrefix="0" xfId="0">
      <alignment vertical="top" wrapText="1"/>
    </xf>
    <xf numFmtId="0" fontId="11" fillId="14" borderId="2" applyAlignment="1" pivotButton="0" quotePrefix="0" xfId="0">
      <alignment vertical="top" wrapText="1"/>
    </xf>
    <xf numFmtId="0" fontId="11" fillId="1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Targets by Geography</a:t>
            </a:r>
          </a:p>
        </rich>
      </tx>
    </title>
    <plotArea>
      <pieChart>
        <varyColors val="1"/>
        <ser>
          <idx val="0"/>
          <order val="0"/>
          <tx>
            <strRef>
              <f>'Dashboard'!B11</f>
            </strRef>
          </tx>
          <spPr>
            <a:ln xmlns:a="http://schemas.openxmlformats.org/drawingml/2006/main">
              <a:prstDash val="solid"/>
            </a:ln>
          </spPr>
          <cat>
            <numRef>
              <f>'Dashboard'!$A$12:$A$13</f>
            </numRef>
          </cat>
          <val>
            <numRef>
              <f>'Dashboard'!$B$12:$B$13</f>
            </numRef>
          </val>
        </ser>
        <dLbls>
          <showLegendKey val="0"/>
          <showVal val="0"/>
          <showCatName val="0"/>
          <showSerName val="0"/>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Seller Readiness Score Distribution (# of Targets)</a:t>
            </a:r>
          </a:p>
        </rich>
      </tx>
    </title>
    <plotArea>
      <barChart>
        <barDir val="col"/>
        <grouping val="clustered"/>
        <ser>
          <idx val="0"/>
          <order val="0"/>
          <tx>
            <strRef>
              <f>'Dashboard'!E11</f>
            </strRef>
          </tx>
          <spPr>
            <a:ln xmlns:a="http://schemas.openxmlformats.org/drawingml/2006/main">
              <a:prstDash val="solid"/>
            </a:ln>
          </spPr>
          <cat>
            <numRef>
              <f>'Dashboard'!$D$12:$D$15</f>
            </numRef>
          </cat>
          <val>
            <numRef>
              <f>'Dashboard'!$E$12:$E$15</f>
            </numRef>
          </val>
        </ser>
        <dLbls>
          <showLegendKey val="0"/>
          <showVal val="1"/>
          <showCatName val="0"/>
          <showSerName val="0"/>
        </dLbls>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harts/chart3.xml><?xml version="1.0" encoding="utf-8"?>
<chartSpace xmlns="http://schemas.openxmlformats.org/drawingml/2006/chart">
  <style val="11"/>
  <chart>
    <title>
      <tx>
        <rich>
          <a:bodyPr xmlns:a="http://schemas.openxmlformats.org/drawingml/2006/main"/>
          <a:p xmlns:a="http://schemas.openxmlformats.org/drawingml/2006/main">
            <a:pPr>
              <a:defRPr/>
            </a:pPr>
            <a:r>
              <a:t>Industry Breakdown</a:t>
            </a:r>
          </a:p>
        </rich>
      </tx>
    </title>
    <plotArea>
      <barChart>
        <barDir val="bar"/>
        <grouping val="clustered"/>
        <ser>
          <idx val="0"/>
          <order val="0"/>
          <tx>
            <strRef>
              <f>'Dashboard'!H11</f>
            </strRef>
          </tx>
          <spPr>
            <a:ln xmlns:a="http://schemas.openxmlformats.org/drawingml/2006/main">
              <a:prstDash val="solid"/>
            </a:ln>
          </spPr>
          <cat>
            <numRef>
              <f>'Dashboard'!$G$12:$G$16</f>
            </numRef>
          </cat>
          <val>
            <numRef>
              <f>'Dashboard'!$H$12:$H$16</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10</row>
      <rowOff>0</rowOff>
    </from>
    <ext cx="32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10</row>
      <rowOff>0</rowOff>
    </from>
    <ext cx="324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10</row>
      <rowOff>0</rowOff>
    </from>
    <ext cx="324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40"/>
  <sheetViews>
    <sheetView showGridLines="0" workbookViewId="0">
      <selection activeCell="A1" sqref="A1"/>
    </sheetView>
  </sheetViews>
  <sheetFormatPr baseColWidth="8" defaultRowHeight="15"/>
  <cols>
    <col width="6" customWidth="1" min="1" max="1"/>
    <col width="26" customWidth="1" min="2" max="2"/>
    <col width="20" customWidth="1" min="3" max="3"/>
    <col width="14" customWidth="1" min="4" max="4"/>
    <col width="14" customWidth="1" min="5" max="5"/>
    <col width="10" customWidth="1" min="6" max="6"/>
    <col width="13" customWidth="1" min="7" max="7"/>
    <col width="16" customWidth="1" min="8" max="8"/>
    <col width="12" customWidth="1" min="9" max="9"/>
    <col width="32"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26" customHeight="1">
      <c r="A1" s="1" t="inlineStr">
        <is>
          <t>Agent 3 - Business Acquisition Targeting Dashboard</t>
        </is>
      </c>
      <c r="B1" s="2" t="n"/>
      <c r="C1" s="2" t="n"/>
      <c r="D1" s="2" t="n"/>
      <c r="E1" s="2" t="n"/>
      <c r="F1" s="2" t="n"/>
      <c r="G1" s="2" t="n"/>
      <c r="H1" s="3" t="inlineStr">
        <is>
          <t>Geography:</t>
        </is>
      </c>
      <c r="I1" s="4" t="n"/>
      <c r="J1" s="5" t="inlineStr">
        <is>
          <t>Data as of:</t>
        </is>
      </c>
      <c r="K1" s="2" t="n"/>
    </row>
    <row r="2" ht="18" customHeight="1">
      <c r="A2" s="6" t="inlineStr">
        <is>
          <t>Surface family-owned, founder-led businesses that fit the acquisition profile</t>
        </is>
      </c>
      <c r="B2" s="2" t="n"/>
      <c r="C2" s="2" t="n"/>
      <c r="D2" s="2" t="n"/>
      <c r="E2" s="2" t="n"/>
      <c r="F2" s="2" t="n"/>
      <c r="G2" s="2" t="n"/>
      <c r="H2" s="5" t="inlineStr">
        <is>
          <t>Florida</t>
        </is>
      </c>
      <c r="I2" s="4" t="n"/>
      <c r="J2" s="7" t="inlineStr">
        <is>
          <t>23-Jun-2026 03:24 PM</t>
        </is>
      </c>
      <c r="K2" s="2" t="n"/>
    </row>
    <row r="3" ht="4" customHeight="1">
      <c r="A3" s="2" t="n"/>
      <c r="B3" s="2" t="n"/>
      <c r="C3" s="2" t="n"/>
      <c r="D3" s="2" t="n"/>
      <c r="E3" s="2" t="n"/>
      <c r="F3" s="2" t="n"/>
      <c r="G3" s="2" t="n"/>
      <c r="H3" s="2" t="n"/>
      <c r="I3" s="2" t="n"/>
      <c r="J3" s="2" t="n"/>
      <c r="K3" s="2" t="n"/>
    </row>
    <row r="4" ht="24" customHeight="1">
      <c r="A4" s="8" t="inlineStr">
        <is>
          <t xml:space="preserve">  Founder-Led:  6</t>
        </is>
      </c>
      <c r="D4" s="9" t="inlineStr">
        <is>
          <t xml:space="preserve">  Family-Owned:  5</t>
        </is>
      </c>
      <c r="G4" s="10" t="inlineStr">
        <is>
          <t xml:space="preserve">  Highest Score:  85</t>
        </is>
      </c>
      <c r="J4" s="11" t="inlineStr">
        <is>
          <t xml:space="preserve">  New Today:  3</t>
        </is>
      </c>
    </row>
    <row r="5" ht="4" customHeight="1">
      <c r="A5" s="2" t="n"/>
      <c r="B5" s="2" t="n"/>
      <c r="C5" s="2" t="n"/>
      <c r="D5" s="2" t="n"/>
      <c r="E5" s="2" t="n"/>
      <c r="F5" s="2" t="n"/>
      <c r="G5" s="2" t="n"/>
      <c r="H5" s="2" t="n"/>
      <c r="I5" s="2" t="n"/>
      <c r="J5" s="2" t="n"/>
      <c r="K5" s="2" t="n"/>
    </row>
    <row r="6" ht="18" customHeight="1">
      <c r="A6" s="12" t="inlineStr">
        <is>
          <t>🎯 Total Targets Found</t>
        </is>
      </c>
      <c r="B6" s="13" t="n"/>
      <c r="C6" s="14" t="inlineStr">
        <is>
          <t>➕ New This Week</t>
        </is>
      </c>
      <c r="D6" s="15" t="n"/>
      <c r="E6" s="16" t="inlineStr">
        <is>
          <t>⭐ Shortlisted</t>
        </is>
      </c>
      <c r="F6" s="17" t="n"/>
      <c r="G6" s="17" t="n"/>
      <c r="H6" s="18" t="inlineStr">
        <is>
          <t>📋 In Review</t>
        </is>
      </c>
      <c r="I6" s="19" t="n"/>
      <c r="J6" s="20" t="inlineStr">
        <is>
          <t>✅ Reviewed</t>
        </is>
      </c>
      <c r="K6" s="21" t="n"/>
    </row>
    <row r="7" ht="30" customHeight="1">
      <c r="A7" s="22" t="n">
        <v>12</v>
      </c>
      <c r="B7" s="13" t="n"/>
      <c r="C7" s="23" t="n">
        <v>3</v>
      </c>
      <c r="D7" s="15" t="n"/>
      <c r="E7" s="24" t="n">
        <v>1</v>
      </c>
      <c r="F7" s="17" t="n"/>
      <c r="G7" s="17" t="n"/>
      <c r="H7" s="25" t="n">
        <v>10</v>
      </c>
      <c r="I7" s="19" t="n"/>
      <c r="J7" s="26" t="n">
        <v>2</v>
      </c>
      <c r="K7" s="21" t="n"/>
    </row>
    <row r="8" ht="16" customHeight="1">
      <c r="A8" s="27" t="inlineStr">
        <is>
          <t>All Time</t>
        </is>
      </c>
      <c r="B8" s="13" t="n"/>
      <c r="C8" s="28" t="inlineStr">
        <is>
          <t>vs Last Week: ↓ 4</t>
        </is>
      </c>
      <c r="D8" s="15" t="n"/>
      <c r="E8" s="29" t="inlineStr">
        <is>
          <t>vs Last Week: ↑ 1</t>
        </is>
      </c>
      <c r="F8" s="17" t="n"/>
      <c r="G8" s="17" t="n"/>
      <c r="H8" s="30" t="inlineStr">
        <is>
          <t>vs Last Week: ↑ 3</t>
        </is>
      </c>
      <c r="I8" s="19" t="n"/>
      <c r="J8" s="31" t="inlineStr">
        <is>
          <t>vs Last Week: ↑ 2</t>
        </is>
      </c>
      <c r="K8" s="21" t="n"/>
    </row>
    <row r="9" ht="8" customHeight="1">
      <c r="A9" s="13" t="n"/>
      <c r="B9" s="13" t="n"/>
      <c r="C9" s="15" t="n"/>
      <c r="D9" s="15" t="n"/>
      <c r="E9" s="17" t="n"/>
      <c r="F9" s="17" t="n"/>
      <c r="G9" s="17" t="n"/>
      <c r="H9" s="19" t="n"/>
      <c r="I9" s="19" t="n"/>
      <c r="J9" s="21" t="n"/>
      <c r="K9" s="21" t="n"/>
    </row>
    <row r="11" ht="22" customHeight="1">
      <c r="A11" s="32" t="inlineStr">
        <is>
          <t>State</t>
        </is>
      </c>
      <c r="B11" s="32" t="inlineStr">
        <is>
          <t>Count</t>
        </is>
      </c>
      <c r="D11" s="32" t="inlineStr">
        <is>
          <t>Band</t>
        </is>
      </c>
      <c r="E11" s="32" t="inlineStr">
        <is>
          <t>Count</t>
        </is>
      </c>
      <c r="G11" s="32" t="inlineStr">
        <is>
          <t>Industry</t>
        </is>
      </c>
      <c r="H11" s="32" t="inlineStr">
        <is>
          <t>Count</t>
        </is>
      </c>
      <c r="K11" s="33" t="inlineStr">
        <is>
          <t>Key Insights</t>
        </is>
      </c>
    </row>
    <row r="12" ht="16" customHeight="1">
      <c r="A12" s="32" t="inlineStr">
        <is>
          <t>Florida</t>
        </is>
      </c>
      <c r="B12" s="32" t="n">
        <v>10</v>
      </c>
      <c r="D12" s="32" t="inlineStr">
        <is>
          <t>20-40</t>
        </is>
      </c>
      <c r="E12" s="32" t="n">
        <v>5</v>
      </c>
      <c r="G12" s="32" t="inlineStr">
        <is>
          <t>Retail</t>
        </is>
      </c>
      <c r="H12" s="32" t="n">
        <v>1</v>
      </c>
      <c r="K12" s="34" t="inlineStr">
        <is>
          <t>• 50% of targets are founder-led</t>
        </is>
      </c>
      <c r="L12" s="35" t="n"/>
    </row>
    <row r="13" ht="16" customHeight="1">
      <c r="A13" s="32" t="inlineStr">
        <is>
          <t>Unknown</t>
        </is>
      </c>
      <c r="B13" s="32" t="n">
        <v>2</v>
      </c>
      <c r="D13" s="32" t="inlineStr">
        <is>
          <t>40-60</t>
        </is>
      </c>
      <c r="E13" s="32" t="n">
        <v>1</v>
      </c>
      <c r="G13" s="32" t="inlineStr">
        <is>
          <t>Transportation, Logistic...</t>
        </is>
      </c>
      <c r="H13" s="32" t="n">
        <v>1</v>
      </c>
      <c r="K13" s="35" t="n"/>
      <c r="L13" s="35" t="n"/>
    </row>
    <row r="14" ht="16" customHeight="1">
      <c r="D14" s="32" t="inlineStr">
        <is>
          <t>60-80</t>
        </is>
      </c>
      <c r="E14" s="32" t="n">
        <v>2</v>
      </c>
      <c r="G14" s="32" t="inlineStr">
        <is>
          <t>Medical Devices</t>
        </is>
      </c>
      <c r="H14" s="32" t="n">
        <v>1</v>
      </c>
      <c r="K14" s="34" t="inlineStr">
        <is>
          <t>• 42% of targets are family-owned</t>
        </is>
      </c>
      <c r="L14" s="35" t="n"/>
    </row>
    <row r="15" ht="16" customHeight="1">
      <c r="D15" s="32" t="inlineStr">
        <is>
          <t>80-100</t>
        </is>
      </c>
      <c r="E15" s="32" t="n">
        <v>1</v>
      </c>
      <c r="G15" s="32" t="inlineStr">
        <is>
          <t>Food</t>
        </is>
      </c>
      <c r="H15" s="32" t="n">
        <v>1</v>
      </c>
      <c r="K15" s="35" t="n"/>
      <c r="L15" s="35" t="n"/>
    </row>
    <row r="16" ht="16" customHeight="1">
      <c r="G16" s="32" t="inlineStr">
        <is>
          <t>Business Services &amp; Supp...</t>
        </is>
      </c>
      <c r="H16" s="32" t="n">
        <v>1</v>
      </c>
      <c r="K16" s="34" t="inlineStr">
        <is>
          <t>• Florida has the highest volume</t>
        </is>
      </c>
      <c r="L16" s="35" t="n"/>
    </row>
    <row r="17" ht="16" customHeight="1">
      <c r="K17" s="35" t="n"/>
      <c r="L17" s="35" t="n"/>
    </row>
    <row r="18" ht="16" customHeight="1">
      <c r="K18" s="34" t="inlineStr">
        <is>
          <t>• 3 new targets added this run</t>
        </is>
      </c>
      <c r="L18" s="35" t="n"/>
    </row>
    <row r="19" ht="16" customHeight="1">
      <c r="K19" s="35" t="n"/>
      <c r="L19" s="35" t="n"/>
    </row>
    <row r="20" ht="16" customHeight="1">
      <c r="K20" s="34" t="inlineStr">
        <is>
          <t>• 1 companies scored 80+</t>
        </is>
      </c>
      <c r="L20" s="35" t="n"/>
    </row>
    <row r="21" ht="16" customHeight="1">
      <c r="K21" s="35" t="n"/>
      <c r="L21" s="35" t="n"/>
    </row>
    <row r="22" ht="16" customHeight="1">
      <c r="K22" s="35" t="n"/>
      <c r="L22" s="35" t="n"/>
    </row>
    <row r="23" ht="16" customHeight="1">
      <c r="K23" s="35" t="n"/>
      <c r="L23" s="35" t="n"/>
    </row>
    <row r="24" ht="16" customHeight="1">
      <c r="K24" s="35" t="n"/>
      <c r="L24" s="35" t="n"/>
    </row>
    <row r="25" ht="16" customHeight="1">
      <c r="K25" s="35" t="n"/>
      <c r="L25" s="35" t="n"/>
    </row>
    <row r="28" ht="26" customHeight="1">
      <c r="A28" s="36" t="inlineStr">
        <is>
          <t>Rank</t>
        </is>
      </c>
      <c r="B28" s="36" t="inlineStr">
        <is>
          <t>Company Name</t>
        </is>
      </c>
      <c r="C28" s="36" t="inlineStr">
        <is>
          <t>Founder Name</t>
        </is>
      </c>
      <c r="D28" s="36" t="inlineStr">
        <is>
          <t>Founder Age (Est.)</t>
        </is>
      </c>
      <c r="E28" s="36" t="inlineStr">
        <is>
          <t>Years in Business</t>
        </is>
      </c>
      <c r="F28" s="36" t="inlineStr">
        <is>
          <t>State</t>
        </is>
      </c>
      <c r="G28" s="36" t="inlineStr">
        <is>
          <t>Readiness Score</t>
        </is>
      </c>
      <c r="H28" s="36" t="inlineStr">
        <is>
          <t>Ownership Status</t>
        </is>
      </c>
      <c r="I28" s="36" t="inlineStr">
        <is>
          <t>Status</t>
        </is>
      </c>
      <c r="J28" s="36" t="inlineStr">
        <is>
          <t>Why Selected</t>
        </is>
      </c>
      <c r="K28" s="36" t="inlineStr">
        <is>
          <t>Ownership Tenure</t>
        </is>
      </c>
    </row>
    <row r="29">
      <c r="A29" s="37" t="n">
        <v>1</v>
      </c>
      <c r="B29" s="38" t="inlineStr">
        <is>
          <t>ALDI</t>
        </is>
      </c>
      <c r="C29" s="38" t="inlineStr">
        <is>
          <t>Karl and Theo Albrecht</t>
        </is>
      </c>
      <c r="D29" s="39" t="inlineStr">
        <is>
          <t>Unknown</t>
        </is>
      </c>
      <c r="E29" s="40" t="n">
        <v>80</v>
      </c>
      <c r="F29" s="39" t="inlineStr">
        <is>
          <t>Unknown</t>
        </is>
      </c>
      <c r="G29" s="41" t="n">
        <v>85</v>
      </c>
      <c r="H29" s="39" t="inlineStr">
        <is>
          <t>Family Owned</t>
        </is>
      </c>
      <c r="I29" s="42" t="inlineStr">
        <is>
          <t>New</t>
        </is>
      </c>
      <c r="J29" s="38" t="inlineStr">
        <is>
          <t>ALDI's strong market position and high seller readiness make it an attractive acquisition target.</t>
        </is>
      </c>
      <c r="K29" s="39" t="inlineStr">
        <is>
          <t>77</t>
        </is>
      </c>
    </row>
    <row r="30">
      <c r="A30" s="37" t="n">
        <v>2</v>
      </c>
      <c r="B30" s="38" t="inlineStr">
        <is>
          <t>All Florida Paper</t>
        </is>
      </c>
      <c r="C30" s="38" t="inlineStr">
        <is>
          <t>Armando Caceres</t>
        </is>
      </c>
      <c r="D30" s="39" t="inlineStr">
        <is>
          <t>Unknown</t>
        </is>
      </c>
      <c r="E30" s="40" t="n">
        <v>33</v>
      </c>
      <c r="F30" s="39" t="inlineStr">
        <is>
          <t>FL</t>
        </is>
      </c>
      <c r="G30" s="43" t="n">
        <v>65</v>
      </c>
      <c r="H30" s="39" t="inlineStr">
        <is>
          <t>Founder Owned</t>
        </is>
      </c>
      <c r="I30" s="42" t="inlineStr">
        <is>
          <t>New</t>
        </is>
      </c>
      <c r="J30" s="38" t="inlineStr">
        <is>
          <t>All Florida Paper is a well-established logistics company with strong leadership.</t>
        </is>
      </c>
      <c r="K30" s="39" t="inlineStr">
        <is>
          <t>30</t>
        </is>
      </c>
    </row>
    <row r="31">
      <c r="A31" s="37" t="n">
        <v>3</v>
      </c>
      <c r="B31" s="38" t="inlineStr">
        <is>
          <t>Arthrex</t>
        </is>
      </c>
      <c r="C31" s="38" t="inlineStr">
        <is>
          <t>Reinhold Schmieding</t>
        </is>
      </c>
      <c r="D31" s="39" t="inlineStr">
        <is>
          <t>Unknown</t>
        </is>
      </c>
      <c r="E31" s="40" t="n">
        <v>46</v>
      </c>
      <c r="F31" s="39" t="inlineStr">
        <is>
          <t>Florida</t>
        </is>
      </c>
      <c r="G31" s="43" t="n">
        <v>60</v>
      </c>
      <c r="H31" s="39" t="n"/>
      <c r="I31" s="44" t="inlineStr">
        <is>
          <t>Pursuing</t>
        </is>
      </c>
      <c r="J31" s="38" t="inlineStr">
        <is>
          <t>Arthrex's long history and family ownership make it an appealing acquisition target.</t>
        </is>
      </c>
      <c r="K31" s="39" t="n"/>
    </row>
    <row r="32">
      <c r="A32" s="37" t="n">
        <v>4</v>
      </c>
      <c r="B32" s="38" t="inlineStr">
        <is>
          <t>American Sugar Refining</t>
        </is>
      </c>
      <c r="C32" s="38" t="inlineStr">
        <is>
          <t>Florida Crystals Corporation and Sugar Cane Growers Cooperative of Florida</t>
        </is>
      </c>
      <c r="D32" s="39" t="inlineStr">
        <is>
          <t>Unknown</t>
        </is>
      </c>
      <c r="E32" s="40" t="n">
        <v>28</v>
      </c>
      <c r="F32" s="39" t="inlineStr">
        <is>
          <t>Florida</t>
        </is>
      </c>
      <c r="G32" s="43" t="n">
        <v>45</v>
      </c>
      <c r="H32" s="39" t="n"/>
      <c r="I32" s="45" t="inlineStr">
        <is>
          <t>Passed</t>
        </is>
      </c>
      <c r="J32" s="38" t="inlineStr">
        <is>
          <t>Established food industry player with strong family ownership and partnership structure.</t>
        </is>
      </c>
      <c r="K32" s="39" t="n"/>
    </row>
    <row r="33">
      <c r="A33" s="37" t="n">
        <v>5</v>
      </c>
      <c r="B33" s="38" t="inlineStr">
        <is>
          <t>Acosta</t>
        </is>
      </c>
      <c r="C33" s="38" t="inlineStr">
        <is>
          <t>L.T. Acosta</t>
        </is>
      </c>
      <c r="D33" s="39" t="inlineStr">
        <is>
          <t>Unknown</t>
        </is>
      </c>
      <c r="E33" s="40" t="n">
        <v>99</v>
      </c>
      <c r="F33" s="39" t="inlineStr">
        <is>
          <t>Florida</t>
        </is>
      </c>
      <c r="G33" s="46" t="n">
        <v>35</v>
      </c>
      <c r="H33" s="39" t="n"/>
      <c r="I33" s="42" t="inlineStr">
        <is>
          <t>New</t>
        </is>
      </c>
      <c r="J33" s="38" t="inlineStr">
        <is>
          <t>Acosta's 99 years in business make it a stable acquisition target.</t>
        </is>
      </c>
      <c r="K33" s="39" t="n"/>
    </row>
    <row r="34">
      <c r="A34" s="37" t="n">
        <v>6</v>
      </c>
      <c r="B34" s="38" t="inlineStr">
        <is>
          <t>AG GENERAL CONTRACTOR</t>
        </is>
      </c>
      <c r="C34" s="38" t="inlineStr">
        <is>
          <t>Guillermo Gaona and Pablo Allamand Sr.</t>
        </is>
      </c>
      <c r="D34" s="39" t="inlineStr">
        <is>
          <t>Unknown</t>
        </is>
      </c>
      <c r="E34" s="40" t="n">
        <v>46</v>
      </c>
      <c r="F34" s="39" t="inlineStr">
        <is>
          <t>FL</t>
        </is>
      </c>
      <c r="G34" s="46" t="n">
        <v>35</v>
      </c>
      <c r="H34" s="39" t="n"/>
      <c r="I34" s="42" t="inlineStr">
        <is>
          <t>New</t>
        </is>
      </c>
      <c r="J34" s="38" t="inlineStr">
        <is>
          <t>Established contractor with strong leadership and 46 years of industry experience.</t>
        </is>
      </c>
      <c r="K34" s="39" t="n"/>
    </row>
    <row r="35">
      <c r="A35" s="37" t="n">
        <v>7</v>
      </c>
      <c r="B35" s="38" t="inlineStr">
        <is>
          <t>Acosta Group</t>
        </is>
      </c>
      <c r="C35" s="38" t="inlineStr">
        <is>
          <t>Luis Acosta</t>
        </is>
      </c>
      <c r="D35" s="39" t="inlineStr">
        <is>
          <t>Unknown</t>
        </is>
      </c>
      <c r="E35" s="40" t="n">
        <v>99</v>
      </c>
      <c r="F35" s="39" t="inlineStr">
        <is>
          <t>FL</t>
        </is>
      </c>
      <c r="G35" s="46" t="n">
        <v>35</v>
      </c>
      <c r="H35" s="39" t="inlineStr">
        <is>
          <t>Unknown</t>
        </is>
      </c>
      <c r="I35" s="42" t="inlineStr">
        <is>
          <t>New</t>
        </is>
      </c>
      <c r="J35" s="38" t="inlineStr">
        <is>
          <t>Acosta Group's 99 years in business makes it a strong acquisition candidate.</t>
        </is>
      </c>
      <c r="K35" s="39" t="inlineStr">
        <is>
          <t>Unknown</t>
        </is>
      </c>
    </row>
    <row r="36">
      <c r="A36" s="37" t="n">
        <v>8</v>
      </c>
      <c r="B36" s="38" t="inlineStr">
        <is>
          <t>AB Committed Capital</t>
        </is>
      </c>
      <c r="C36" s="38" t="inlineStr">
        <is>
          <t>Evan Bozymski, Nicholas Adam</t>
        </is>
      </c>
      <c r="D36" s="39" t="inlineStr">
        <is>
          <t>Unknown</t>
        </is>
      </c>
      <c r="E36" s="40" t="n">
        <v>3</v>
      </c>
      <c r="F36" s="39" t="inlineStr">
        <is>
          <t>Florida</t>
        </is>
      </c>
      <c r="G36" s="46" t="n">
        <v>25</v>
      </c>
      <c r="H36" s="39" t="n"/>
      <c r="I36" s="42" t="inlineStr">
        <is>
          <t>New</t>
        </is>
      </c>
      <c r="J36" s="38" t="inlineStr">
        <is>
          <t>AB Committed Capital is a promising family-owned investment firm with strong leadership.</t>
        </is>
      </c>
      <c r="K36" s="39" t="n"/>
    </row>
    <row r="37">
      <c r="A37" s="37" t="n">
        <v>9</v>
      </c>
      <c r="B37" s="38" t="inlineStr">
        <is>
          <t>AB Committed Capital</t>
        </is>
      </c>
      <c r="C37" s="38" t="inlineStr">
        <is>
          <t>Unknown</t>
        </is>
      </c>
      <c r="D37" s="39" t="inlineStr">
        <is>
          <t>Unknown</t>
        </is>
      </c>
      <c r="E37" s="40" t="n">
        <v>0</v>
      </c>
      <c r="F37" s="39" t="inlineStr">
        <is>
          <t>Unknown</t>
        </is>
      </c>
      <c r="G37" s="46" t="n">
        <v>25</v>
      </c>
      <c r="H37" s="39" t="n"/>
      <c r="I37" s="42" t="inlineStr">
        <is>
          <t>New</t>
        </is>
      </c>
      <c r="J37" s="38" t="inlineStr">
        <is>
          <t>Strong acquisition target backed by successful family offices in private investment.</t>
        </is>
      </c>
      <c r="K37" s="39" t="n"/>
    </row>
    <row r="38">
      <c r="A38" s="37" t="n">
        <v>10</v>
      </c>
      <c r="B38" s="38" t="inlineStr">
        <is>
          <t>ALARM BROKERS OF FLORIDA LLC</t>
        </is>
      </c>
      <c r="C38" s="38" t="inlineStr">
        <is>
          <t>Steve Carulo and Mary Runno</t>
        </is>
      </c>
      <c r="D38" s="39" t="inlineStr">
        <is>
          <t>Unknown</t>
        </is>
      </c>
      <c r="E38" s="40" t="n">
        <v>10</v>
      </c>
      <c r="F38" s="39" t="inlineStr">
        <is>
          <t>Florida</t>
        </is>
      </c>
      <c r="G38" s="46" t="n">
        <v>10</v>
      </c>
      <c r="H38" s="39" t="n"/>
      <c r="I38" s="42" t="inlineStr">
        <is>
          <t>New</t>
        </is>
      </c>
      <c r="J38" s="38" t="inlineStr">
        <is>
          <t>Strong acquisition target with industry expertise and high seller readiness.</t>
        </is>
      </c>
      <c r="K38" s="39" t="n"/>
    </row>
    <row r="39">
      <c r="A39" s="37" t="n">
        <v>11</v>
      </c>
      <c r="B39" s="38" t="inlineStr">
        <is>
          <t>Altrius</t>
        </is>
      </c>
      <c r="C39" s="38" t="inlineStr">
        <is>
          <t>Unknown</t>
        </is>
      </c>
      <c r="D39" s="39" t="inlineStr">
        <is>
          <t>Unknown</t>
        </is>
      </c>
      <c r="E39" s="40" t="n">
        <v>6</v>
      </c>
      <c r="F39" s="39" t="inlineStr">
        <is>
          <t>Florida</t>
        </is>
      </c>
      <c r="G39" s="46" t="n">
        <v>0</v>
      </c>
      <c r="H39" s="39" t="n"/>
      <c r="I39" s="42" t="inlineStr">
        <is>
          <t>New</t>
        </is>
      </c>
      <c r="J39" s="38" t="inlineStr">
        <is>
          <t>Altrius is a young insurance company with growth potential in Florida.</t>
        </is>
      </c>
      <c r="K39" s="39" t="n"/>
    </row>
    <row r="40">
      <c r="A40" s="37" t="n">
        <v>12</v>
      </c>
      <c r="B40" s="38" t="inlineStr">
        <is>
          <t>Air Pros USA</t>
        </is>
      </c>
      <c r="C40" s="38" t="inlineStr">
        <is>
          <t>Anthony Perera</t>
        </is>
      </c>
      <c r="D40" s="39" t="inlineStr">
        <is>
          <t>Unknown</t>
        </is>
      </c>
      <c r="E40" s="40" t="n">
        <v>9</v>
      </c>
      <c r="F40" s="39" t="inlineStr">
        <is>
          <t>Florida</t>
        </is>
      </c>
      <c r="G40" s="46" t="n">
        <v>0</v>
      </c>
      <c r="H40" s="39" t="n"/>
      <c r="I40" s="42" t="inlineStr">
        <is>
          <t>New</t>
        </is>
      </c>
      <c r="J40" s="38" t="inlineStr">
        <is>
          <t>Air Pros USA is poised for growth under founder-led leadership.</t>
        </is>
      </c>
      <c r="K40" s="39" t="n"/>
    </row>
  </sheetData>
  <autoFilter ref="A28:K28"/>
  <mergeCells count="35">
    <mergeCell ref="C6:D6"/>
    <mergeCell ref="K12:L13"/>
    <mergeCell ref="H1:I1"/>
    <mergeCell ref="E9:G9"/>
    <mergeCell ref="A6:B6"/>
    <mergeCell ref="E6:G6"/>
    <mergeCell ref="H9:I9"/>
    <mergeCell ref="J9:K9"/>
    <mergeCell ref="K14:L15"/>
    <mergeCell ref="A2:F2"/>
    <mergeCell ref="K11:L11"/>
    <mergeCell ref="H6:I6"/>
    <mergeCell ref="A7:B7"/>
    <mergeCell ref="J6:K6"/>
    <mergeCell ref="D4:F4"/>
    <mergeCell ref="G4:I4"/>
    <mergeCell ref="C9:D9"/>
    <mergeCell ref="A4:C4"/>
    <mergeCell ref="E7:G7"/>
    <mergeCell ref="J4:K4"/>
    <mergeCell ref="K16:L17"/>
    <mergeCell ref="H2:I2"/>
    <mergeCell ref="H7:I7"/>
    <mergeCell ref="J7:K7"/>
    <mergeCell ref="K18:L19"/>
    <mergeCell ref="A8:B8"/>
    <mergeCell ref="C8:D8"/>
    <mergeCell ref="C7:D7"/>
    <mergeCell ref="J2:K2"/>
    <mergeCell ref="A1:F1"/>
    <mergeCell ref="E8:G8"/>
    <mergeCell ref="K20:L25"/>
    <mergeCell ref="H8:I8"/>
    <mergeCell ref="A9:B9"/>
    <mergeCell ref="J8:K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8" customWidth="1" min="3" max="3"/>
    <col width="14" customWidth="1" min="4" max="4"/>
    <col width="12" customWidth="1" min="5" max="5"/>
    <col width="14" customWidth="1" min="6" max="6"/>
    <col width="20" customWidth="1" min="7" max="7"/>
    <col width="12" customWidth="1" min="8" max="8"/>
    <col width="12" customWidth="1" min="9" max="9"/>
    <col width="14" customWidth="1" min="10" max="10"/>
    <col width="16" customWidth="1" min="11" max="11"/>
    <col width="14" customWidth="1" min="12" max="12"/>
    <col width="14" customWidth="1" min="13" max="13"/>
    <col width="14" customWidth="1" min="14" max="14"/>
  </cols>
  <sheetData>
    <row r="1">
      <c r="A1" s="47" t="inlineStr">
        <is>
          <t>Company Name</t>
        </is>
      </c>
      <c r="B1" s="47" t="inlineStr">
        <is>
          <t>State</t>
        </is>
      </c>
      <c r="C1" s="47" t="inlineStr">
        <is>
          <t>Industry</t>
        </is>
      </c>
      <c r="D1" s="47" t="inlineStr">
        <is>
          <t>Company Type</t>
        </is>
      </c>
      <c r="E1" s="47" t="inlineStr">
        <is>
          <t>Founded Year</t>
        </is>
      </c>
      <c r="F1" s="47" t="inlineStr">
        <is>
          <t>Years in Business</t>
        </is>
      </c>
      <c r="G1" s="47" t="inlineStr">
        <is>
          <t>Founder Name</t>
        </is>
      </c>
      <c r="H1" s="47" t="inlineStr">
        <is>
          <t>Founder Led</t>
        </is>
      </c>
      <c r="I1" s="47" t="inlineStr">
        <is>
          <t>Family Owned</t>
        </is>
      </c>
      <c r="J1" s="47" t="inlineStr">
        <is>
          <t>Founder Age Est.</t>
        </is>
      </c>
      <c r="K1" s="47" t="inlineStr">
        <is>
          <t>Seller Readiness Score</t>
        </is>
      </c>
      <c r="L1" s="47" t="inlineStr">
        <is>
          <t>Review Status</t>
        </is>
      </c>
      <c r="M1" s="47" t="inlineStr">
        <is>
          <t>First Seen</t>
        </is>
      </c>
      <c r="N1" s="47" t="inlineStr">
        <is>
          <t>Last Seen</t>
        </is>
      </c>
    </row>
    <row r="2">
      <c r="A2" s="48" t="inlineStr">
        <is>
          <t>ALDI</t>
        </is>
      </c>
      <c r="B2" s="48" t="inlineStr">
        <is>
          <t>Unknown</t>
        </is>
      </c>
      <c r="C2" s="48" t="inlineStr">
        <is>
          <t>Retail</t>
        </is>
      </c>
      <c r="D2" s="48" t="inlineStr">
        <is>
          <t>Private</t>
        </is>
      </c>
      <c r="E2" s="48" t="inlineStr">
        <is>
          <t>1946</t>
        </is>
      </c>
      <c r="F2" s="48" t="n">
        <v>80</v>
      </c>
      <c r="G2" s="48" t="inlineStr">
        <is>
          <t>Karl and Theo Albrecht</t>
        </is>
      </c>
      <c r="H2" s="48" t="inlineStr">
        <is>
          <t>No</t>
        </is>
      </c>
      <c r="I2" s="48" t="inlineStr">
        <is>
          <t>Yes</t>
        </is>
      </c>
      <c r="J2" s="48" t="inlineStr">
        <is>
          <t>Unknown</t>
        </is>
      </c>
      <c r="K2" s="49" t="n">
        <v>85</v>
      </c>
      <c r="L2" s="48" t="inlineStr">
        <is>
          <t>New</t>
        </is>
      </c>
      <c r="M2" s="50" t="n">
        <v>46196</v>
      </c>
      <c r="N2" s="50" t="n">
        <v>46196</v>
      </c>
    </row>
    <row r="3">
      <c r="A3" s="48" t="inlineStr">
        <is>
          <t>All Florida Paper</t>
        </is>
      </c>
      <c r="B3" s="48" t="inlineStr">
        <is>
          <t>FL</t>
        </is>
      </c>
      <c r="C3" s="48" t="inlineStr">
        <is>
          <t>Transportation, Logistics, Supply Chain and Storage</t>
        </is>
      </c>
      <c r="D3" s="48" t="inlineStr">
        <is>
          <t>Private</t>
        </is>
      </c>
      <c r="E3" s="48" t="inlineStr">
        <is>
          <t>1993</t>
        </is>
      </c>
      <c r="F3" s="48" t="n">
        <v>33</v>
      </c>
      <c r="G3" s="48" t="inlineStr">
        <is>
          <t>Armando Caceres</t>
        </is>
      </c>
      <c r="H3" s="48" t="inlineStr">
        <is>
          <t>Yes</t>
        </is>
      </c>
      <c r="I3" s="48" t="inlineStr">
        <is>
          <t>Unknown</t>
        </is>
      </c>
      <c r="J3" s="48" t="inlineStr">
        <is>
          <t>Unknown</t>
        </is>
      </c>
      <c r="K3" s="51" t="n">
        <v>65</v>
      </c>
      <c r="L3" s="48" t="inlineStr">
        <is>
          <t>New</t>
        </is>
      </c>
      <c r="M3" s="50" t="n">
        <v>46196</v>
      </c>
      <c r="N3" s="50" t="n">
        <v>46196</v>
      </c>
    </row>
    <row r="4">
      <c r="A4" s="48" t="inlineStr">
        <is>
          <t>Arthrex</t>
        </is>
      </c>
      <c r="B4" s="48" t="inlineStr">
        <is>
          <t>Florida</t>
        </is>
      </c>
      <c r="C4" s="48" t="inlineStr">
        <is>
          <t>Medical Devices</t>
        </is>
      </c>
      <c r="D4" s="48" t="inlineStr">
        <is>
          <t>Private</t>
        </is>
      </c>
      <c r="E4" s="48" t="inlineStr">
        <is>
          <t>1980</t>
        </is>
      </c>
      <c r="F4" s="48" t="n">
        <v>46</v>
      </c>
      <c r="G4" s="48" t="inlineStr">
        <is>
          <t>Reinhold Schmieding</t>
        </is>
      </c>
      <c r="H4" s="48" t="inlineStr">
        <is>
          <t>Yes</t>
        </is>
      </c>
      <c r="I4" s="48" t="inlineStr">
        <is>
          <t>Yes</t>
        </is>
      </c>
      <c r="J4" s="48" t="inlineStr">
        <is>
          <t>Unknown</t>
        </is>
      </c>
      <c r="K4" s="51" t="n">
        <v>60</v>
      </c>
      <c r="L4" s="48" t="inlineStr">
        <is>
          <t>Pursuing</t>
        </is>
      </c>
      <c r="M4" s="50" t="n">
        <v>46195</v>
      </c>
      <c r="N4" s="50" t="n">
        <v>46195</v>
      </c>
    </row>
    <row r="5">
      <c r="A5" s="48" t="inlineStr">
        <is>
          <t>American Sugar Refining</t>
        </is>
      </c>
      <c r="B5" s="48" t="inlineStr">
        <is>
          <t>Florida</t>
        </is>
      </c>
      <c r="C5" s="48" t="inlineStr">
        <is>
          <t>Food</t>
        </is>
      </c>
      <c r="D5" s="48" t="inlineStr">
        <is>
          <t>Private</t>
        </is>
      </c>
      <c r="E5" s="48" t="inlineStr">
        <is>
          <t>1998</t>
        </is>
      </c>
      <c r="F5" s="48" t="n">
        <v>28</v>
      </c>
      <c r="G5" s="48" t="inlineStr">
        <is>
          <t>Florida Crystals Corporation and Sugar Cane Growers Cooperative of Florida</t>
        </is>
      </c>
      <c r="H5" s="48" t="inlineStr">
        <is>
          <t>Unknown</t>
        </is>
      </c>
      <c r="I5" s="48" t="inlineStr">
        <is>
          <t>Yes</t>
        </is>
      </c>
      <c r="J5" s="48" t="inlineStr">
        <is>
          <t>Unknown</t>
        </is>
      </c>
      <c r="K5" s="51" t="n">
        <v>45</v>
      </c>
      <c r="L5" s="48" t="inlineStr">
        <is>
          <t>Passed</t>
        </is>
      </c>
      <c r="M5" s="50" t="n">
        <v>46195</v>
      </c>
      <c r="N5" s="50" t="n">
        <v>46195</v>
      </c>
    </row>
    <row r="6">
      <c r="A6" s="48" t="inlineStr">
        <is>
          <t>Acosta</t>
        </is>
      </c>
      <c r="B6" s="48" t="inlineStr">
        <is>
          <t>Florida</t>
        </is>
      </c>
      <c r="C6" s="48" t="inlineStr">
        <is>
          <t>Business Services &amp; Supplies</t>
        </is>
      </c>
      <c r="D6" s="48" t="inlineStr">
        <is>
          <t>Unknown</t>
        </is>
      </c>
      <c r="E6" s="48" t="inlineStr">
        <is>
          <t>1927</t>
        </is>
      </c>
      <c r="F6" s="48" t="n">
        <v>99</v>
      </c>
      <c r="G6" s="48" t="inlineStr">
        <is>
          <t>L.T. Acosta</t>
        </is>
      </c>
      <c r="H6" s="48" t="inlineStr">
        <is>
          <t>No</t>
        </is>
      </c>
      <c r="I6" s="48" t="inlineStr">
        <is>
          <t>Unknown</t>
        </is>
      </c>
      <c r="J6" s="48" t="inlineStr">
        <is>
          <t>Unknown</t>
        </is>
      </c>
      <c r="K6" s="52" t="n">
        <v>35</v>
      </c>
      <c r="L6" s="48" t="inlineStr">
        <is>
          <t>New</t>
        </is>
      </c>
      <c r="M6" s="50" t="n">
        <v>46194</v>
      </c>
      <c r="N6" s="50" t="n">
        <v>46194</v>
      </c>
    </row>
    <row r="7">
      <c r="A7" s="48" t="inlineStr">
        <is>
          <t>AG GENERAL CONTRACTOR</t>
        </is>
      </c>
      <c r="B7" s="48" t="inlineStr">
        <is>
          <t>FL</t>
        </is>
      </c>
      <c r="C7" s="48" t="inlineStr">
        <is>
          <t>Residential Building Construction</t>
        </is>
      </c>
      <c r="D7" s="48" t="inlineStr">
        <is>
          <t>Private</t>
        </is>
      </c>
      <c r="E7" s="48" t="inlineStr">
        <is>
          <t>1980</t>
        </is>
      </c>
      <c r="F7" s="48" t="n">
        <v>46</v>
      </c>
      <c r="G7" s="48" t="inlineStr">
        <is>
          <t>Guillermo Gaona and Pablo Allamand Sr.</t>
        </is>
      </c>
      <c r="H7" s="48" t="inlineStr">
        <is>
          <t>Yes</t>
        </is>
      </c>
      <c r="I7" s="48" t="inlineStr">
        <is>
          <t>Unknown</t>
        </is>
      </c>
      <c r="J7" s="48" t="inlineStr">
        <is>
          <t>Unknown</t>
        </is>
      </c>
      <c r="K7" s="52" t="n">
        <v>35</v>
      </c>
      <c r="L7" s="48" t="inlineStr">
        <is>
          <t>New</t>
        </is>
      </c>
      <c r="M7" s="50" t="n">
        <v>46194</v>
      </c>
      <c r="N7" s="50" t="n">
        <v>46194</v>
      </c>
    </row>
    <row r="8">
      <c r="A8" s="48" t="inlineStr">
        <is>
          <t>Acosta Group</t>
        </is>
      </c>
      <c r="B8" s="48" t="inlineStr">
        <is>
          <t>FL</t>
        </is>
      </c>
      <c r="C8" s="48" t="inlineStr">
        <is>
          <t>Marketing and Sales</t>
        </is>
      </c>
      <c r="D8" s="48" t="inlineStr">
        <is>
          <t>Unknown</t>
        </is>
      </c>
      <c r="E8" s="48" t="inlineStr">
        <is>
          <t>1927</t>
        </is>
      </c>
      <c r="F8" s="48" t="n">
        <v>99</v>
      </c>
      <c r="G8" s="48" t="inlineStr">
        <is>
          <t>Luis Acosta</t>
        </is>
      </c>
      <c r="H8" s="48" t="inlineStr">
        <is>
          <t>No</t>
        </is>
      </c>
      <c r="I8" s="48" t="inlineStr">
        <is>
          <t>Unknown</t>
        </is>
      </c>
      <c r="J8" s="48" t="inlineStr">
        <is>
          <t>Unknown</t>
        </is>
      </c>
      <c r="K8" s="52" t="n">
        <v>35</v>
      </c>
      <c r="L8" s="48" t="inlineStr">
        <is>
          <t>New</t>
        </is>
      </c>
      <c r="M8" s="50" t="n">
        <v>46196</v>
      </c>
      <c r="N8" s="50" t="n">
        <v>46196</v>
      </c>
    </row>
    <row r="9">
      <c r="A9" s="48" t="inlineStr">
        <is>
          <t>AB Committed Capital</t>
        </is>
      </c>
      <c r="B9" s="48" t="inlineStr">
        <is>
          <t>Florida</t>
        </is>
      </c>
      <c r="C9" s="48" t="inlineStr">
        <is>
          <t>Investment</t>
        </is>
      </c>
      <c r="D9" s="48" t="inlineStr">
        <is>
          <t>Private</t>
        </is>
      </c>
      <c r="E9" s="48" t="inlineStr">
        <is>
          <t>2023</t>
        </is>
      </c>
      <c r="F9" s="48" t="n">
        <v>3</v>
      </c>
      <c r="G9" s="48" t="inlineStr">
        <is>
          <t>Evan Bozymski, Nicholas Adam</t>
        </is>
      </c>
      <c r="H9" s="48" t="inlineStr">
        <is>
          <t>Yes</t>
        </is>
      </c>
      <c r="I9" s="48" t="inlineStr">
        <is>
          <t>Yes</t>
        </is>
      </c>
      <c r="J9" s="48" t="inlineStr">
        <is>
          <t>Unknown</t>
        </is>
      </c>
      <c r="K9" s="52" t="n">
        <v>25</v>
      </c>
      <c r="L9" s="48" t="inlineStr">
        <is>
          <t>New</t>
        </is>
      </c>
      <c r="M9" s="50" t="n">
        <v>46194</v>
      </c>
      <c r="N9" s="50" t="n">
        <v>46194</v>
      </c>
    </row>
    <row r="10">
      <c r="A10" s="48" t="inlineStr">
        <is>
          <t>AB Committed Capital</t>
        </is>
      </c>
      <c r="B10" s="48" t="inlineStr">
        <is>
          <t>Unknown</t>
        </is>
      </c>
      <c r="C10" s="48" t="inlineStr">
        <is>
          <t>Venture Capital and Private Equity Principals</t>
        </is>
      </c>
      <c r="D10" s="48" t="inlineStr">
        <is>
          <t>Private</t>
        </is>
      </c>
      <c r="E10" s="48" t="inlineStr">
        <is>
          <t>Unknown</t>
        </is>
      </c>
      <c r="F10" s="48" t="n">
        <v>0</v>
      </c>
      <c r="G10" s="48" t="inlineStr">
        <is>
          <t>Unknown</t>
        </is>
      </c>
      <c r="H10" s="48" t="inlineStr">
        <is>
          <t>Unknown</t>
        </is>
      </c>
      <c r="I10" s="48" t="inlineStr">
        <is>
          <t>Yes</t>
        </is>
      </c>
      <c r="J10" s="48" t="inlineStr">
        <is>
          <t>Unknown</t>
        </is>
      </c>
      <c r="K10" s="52" t="n">
        <v>25</v>
      </c>
      <c r="L10" s="48" t="inlineStr">
        <is>
          <t>New</t>
        </is>
      </c>
      <c r="M10" s="50" t="n">
        <v>46194</v>
      </c>
      <c r="N10" s="50" t="n">
        <v>46194</v>
      </c>
    </row>
    <row r="11">
      <c r="A11" s="48" t="inlineStr">
        <is>
          <t>ALARM BROKERS OF FLORIDA LLC</t>
        </is>
      </c>
      <c r="B11" s="48" t="inlineStr">
        <is>
          <t>Florida</t>
        </is>
      </c>
      <c r="C11" s="48" t="inlineStr">
        <is>
          <t>Security and Investigations</t>
        </is>
      </c>
      <c r="D11" s="48" t="inlineStr">
        <is>
          <t>Unknown</t>
        </is>
      </c>
      <c r="E11" s="48" t="inlineStr">
        <is>
          <t>2016</t>
        </is>
      </c>
      <c r="F11" s="48" t="n">
        <v>10</v>
      </c>
      <c r="G11" s="48" t="inlineStr">
        <is>
          <t>Steve Carulo and Mary Runno</t>
        </is>
      </c>
      <c r="H11" s="48" t="inlineStr">
        <is>
          <t>Yes</t>
        </is>
      </c>
      <c r="I11" s="48" t="inlineStr">
        <is>
          <t>Unknown</t>
        </is>
      </c>
      <c r="J11" s="48" t="inlineStr">
        <is>
          <t>Unknown</t>
        </is>
      </c>
      <c r="K11" s="52" t="n">
        <v>10</v>
      </c>
      <c r="L11" s="48" t="inlineStr">
        <is>
          <t>New</t>
        </is>
      </c>
      <c r="M11" s="50" t="n">
        <v>46194</v>
      </c>
      <c r="N11" s="50" t="n">
        <v>46194</v>
      </c>
    </row>
    <row r="12">
      <c r="A12" s="48" t="inlineStr">
        <is>
          <t>Altrius</t>
        </is>
      </c>
      <c r="B12" s="48" t="inlineStr">
        <is>
          <t>Florida</t>
        </is>
      </c>
      <c r="C12" s="48" t="inlineStr">
        <is>
          <t>Insurance</t>
        </is>
      </c>
      <c r="D12" s="48" t="inlineStr">
        <is>
          <t>Unknown</t>
        </is>
      </c>
      <c r="E12" s="48" t="inlineStr">
        <is>
          <t>2020</t>
        </is>
      </c>
      <c r="F12" s="48" t="n">
        <v>6</v>
      </c>
      <c r="G12" s="48" t="inlineStr">
        <is>
          <t>Unknown</t>
        </is>
      </c>
      <c r="H12" s="48" t="inlineStr">
        <is>
          <t>Unknown</t>
        </is>
      </c>
      <c r="I12" s="48" t="inlineStr">
        <is>
          <t>Unknown</t>
        </is>
      </c>
      <c r="J12" s="48" t="inlineStr">
        <is>
          <t>Unknown</t>
        </is>
      </c>
      <c r="K12" s="52" t="n">
        <v>0</v>
      </c>
      <c r="L12" s="48" t="inlineStr">
        <is>
          <t>New</t>
        </is>
      </c>
      <c r="M12" s="50" t="n">
        <v>46194</v>
      </c>
      <c r="N12" s="50" t="n">
        <v>46194</v>
      </c>
    </row>
    <row r="13">
      <c r="A13" s="48" t="inlineStr">
        <is>
          <t>Air Pros USA</t>
        </is>
      </c>
      <c r="B13" s="48" t="inlineStr">
        <is>
          <t>Florida</t>
        </is>
      </c>
      <c r="C13" s="48" t="inlineStr">
        <is>
          <t>HVAC and Refrigeration Equipment Manufacturing</t>
        </is>
      </c>
      <c r="D13" s="48" t="inlineStr">
        <is>
          <t>Private</t>
        </is>
      </c>
      <c r="E13" s="48" t="inlineStr">
        <is>
          <t>2017</t>
        </is>
      </c>
      <c r="F13" s="48" t="n">
        <v>9</v>
      </c>
      <c r="G13" s="48" t="inlineStr">
        <is>
          <t>Anthony Perera</t>
        </is>
      </c>
      <c r="H13" s="48" t="inlineStr">
        <is>
          <t>Yes</t>
        </is>
      </c>
      <c r="I13" s="48" t="inlineStr">
        <is>
          <t>Unknown</t>
        </is>
      </c>
      <c r="J13" s="48" t="inlineStr">
        <is>
          <t>Unknown</t>
        </is>
      </c>
      <c r="K13" s="52" t="n">
        <v>0</v>
      </c>
      <c r="L13" s="48" t="inlineStr">
        <is>
          <t>New</t>
        </is>
      </c>
      <c r="M13" s="50" t="n">
        <v>46194</v>
      </c>
      <c r="N13" s="50" t="n">
        <v>46194</v>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0" customWidth="1" min="3" max="3"/>
    <col width="10" customWidth="1" min="4" max="4"/>
    <col width="55" customWidth="1" min="5" max="5"/>
    <col width="55" customWidth="1" min="6" max="6"/>
    <col width="45" customWidth="1" min="7" max="7"/>
    <col width="14" customWidth="1" min="8" max="8"/>
    <col width="35" customWidth="1" min="9" max="9"/>
    <col hidden="1" min="10" max="10"/>
  </cols>
  <sheetData>
    <row r="1">
      <c r="A1" s="47" t="inlineStr">
        <is>
          <t>Rank</t>
        </is>
      </c>
      <c r="B1" s="47" t="inlineStr">
        <is>
          <t>Company Name</t>
        </is>
      </c>
      <c r="C1" s="47" t="inlineStr">
        <is>
          <t>Score</t>
        </is>
      </c>
      <c r="D1" s="47" t="inlineStr">
        <is>
          <t>State</t>
        </is>
      </c>
      <c r="E1" s="47" t="inlineStr">
        <is>
          <t>Why Selected</t>
        </is>
      </c>
      <c r="F1" s="47" t="inlineStr">
        <is>
          <t>Evidence Summary</t>
        </is>
      </c>
      <c r="G1" s="47" t="inlineStr">
        <is>
          <t>One-line Reason</t>
        </is>
      </c>
      <c r="H1" s="47" t="inlineStr">
        <is>
          <t>Feedback</t>
        </is>
      </c>
      <c r="I1" s="47" t="inlineStr">
        <is>
          <t>Notes</t>
        </is>
      </c>
      <c r="J1" s="47" t="inlineStr">
        <is>
          <t>_candidate_id</t>
        </is>
      </c>
    </row>
    <row r="2" ht="90" customHeight="1">
      <c r="A2" s="53" t="n">
        <v>1</v>
      </c>
      <c r="B2" s="54" t="inlineStr">
        <is>
          <t>ALDI</t>
        </is>
      </c>
      <c r="C2" s="55" t="n">
        <v>85</v>
      </c>
      <c r="D2" s="54" t="inlineStr">
        <is>
          <t>Unknown</t>
        </is>
      </c>
      <c r="E2" s="54" t="inlineStr">
        <is>
          <t>ALDI is a strong acquisition target due to its established presence in the retail industry, having been in business for 80 years. Its high seller readiness score of 85 indicates a favorable disposition towards a potential sale, making it an attractive opportunity for investors.</t>
        </is>
      </c>
      <c r="F2" s="54" t="inlineStr">
        <is>
          <t>The company is a family-owned discount supermarket chain founded in 1946, and it is explicitly described as private, which supports its potential as an acquisition target.</t>
        </is>
      </c>
      <c r="G2" s="54" t="inlineStr">
        <is>
          <t>ALDI's strong market position and high seller readiness make it an attractive acquisition target.</t>
        </is>
      </c>
      <c r="H2" s="54" t="inlineStr">
        <is>
          <t>New</t>
        </is>
      </c>
      <c r="I2" s="54" t="inlineStr"/>
      <c r="J2" s="54" t="n">
        <v>12</v>
      </c>
    </row>
    <row r="3" ht="90" customHeight="1">
      <c r="A3" s="53" t="n">
        <v>2</v>
      </c>
      <c r="B3" s="54" t="inlineStr">
        <is>
          <t>All Florida Paper</t>
        </is>
      </c>
      <c r="C3" s="56" t="n">
        <v>65</v>
      </c>
      <c r="D3" s="54" t="inlineStr">
        <is>
          <t>FL</t>
        </is>
      </c>
      <c r="E3" s="54" t="inlineStr">
        <is>
          <t>All Florida Paper is a strong acquisition target due to its established presence in the transportation and logistics industry, having been in business for 33 years. The company is led by its founder, Armando Caceres, who has demonstrated commitment and leadership since its inception.</t>
        </is>
      </c>
      <c r="F3" s="54" t="inlineStr">
        <is>
          <t>The company was founded in 1993 by Armando Caceres, who has led it since with an initial investment of $50,000. It is explicitly described as privately-held, and the seller readiness score is 65, indicating a potential openness to acquisition.</t>
        </is>
      </c>
      <c r="G3" s="54" t="inlineStr">
        <is>
          <t>All Florida Paper is a well-established logistics company with strong leadership.</t>
        </is>
      </c>
      <c r="H3" s="54" t="inlineStr">
        <is>
          <t>New</t>
        </is>
      </c>
      <c r="I3" s="54" t="inlineStr"/>
      <c r="J3" s="54" t="n">
        <v>11</v>
      </c>
    </row>
    <row r="4" ht="90" customHeight="1">
      <c r="A4" s="53" t="n">
        <v>3</v>
      </c>
      <c r="B4" s="54" t="inlineStr">
        <is>
          <t>Arthrex</t>
        </is>
      </c>
      <c r="C4" s="56" t="n">
        <v>60</v>
      </c>
      <c r="D4" s="54" t="inlineStr">
        <is>
          <t>Florida</t>
        </is>
      </c>
      <c r="E4" s="54" t="inlineStr">
        <is>
          <t>Arthrex is a strong acquisition target due to its long-standing presence in the medical devices industry, having been in business for 46 years. The company's family-owned structure and founder-led management may provide stability and a unique culture that could be attractive to potential buyers.</t>
        </is>
      </c>
      <c r="F4" s="54" t="inlineStr">
        <is>
          <t>The evidence indicates that Arthrex was founded in 1980 by Reinhold Schmieding, who is still leading the company as President, and it is described as a privately held family business.</t>
        </is>
      </c>
      <c r="G4" s="54" t="inlineStr">
        <is>
          <t>Arthrex's long history and family ownership make it an appealing acquisition target.</t>
        </is>
      </c>
      <c r="H4" s="54" t="inlineStr">
        <is>
          <t>Pursuing</t>
        </is>
      </c>
      <c r="I4" s="54" t="inlineStr"/>
      <c r="J4" s="54" t="n">
        <v>9</v>
      </c>
    </row>
    <row r="5" ht="90" customHeight="1">
      <c r="A5" s="53" t="n">
        <v>4</v>
      </c>
      <c r="B5" s="54" t="inlineStr">
        <is>
          <t>American Sugar Refining</t>
        </is>
      </c>
      <c r="C5" s="56" t="n">
        <v>45</v>
      </c>
      <c r="D5" s="54" t="inlineStr">
        <is>
          <t>Florida</t>
        </is>
      </c>
      <c r="E5" s="54" t="inlineStr">
        <is>
          <t>American Sugar Refining is a strong acquisition target due to its established presence in the food industry and its long history of 28 years in business. The company's family-owned structure and partnership with the Sugar Cane Growers Cooperative of Florida suggest stability and potential for strategic growth.</t>
        </is>
      </c>
      <c r="F5" s="54" t="inlineStr">
        <is>
          <t>The company is part of a larger sugar empire owned by the Fanjul brothers, with origins in 19th-century sugar plantations, indicating a deep-rooted legacy in the industry. However, specific details about the founder's leadership and readiness for sale are limited.</t>
        </is>
      </c>
      <c r="G5" s="54" t="inlineStr">
        <is>
          <t>Established food industry player with strong family ownership and partnership structure.</t>
        </is>
      </c>
      <c r="H5" s="54" t="inlineStr">
        <is>
          <t>Passed</t>
        </is>
      </c>
      <c r="I5" s="54" t="inlineStr"/>
      <c r="J5" s="54" t="n">
        <v>8</v>
      </c>
    </row>
    <row r="6" ht="90" customHeight="1">
      <c r="A6" s="53" t="n">
        <v>5</v>
      </c>
      <c r="B6" s="54" t="inlineStr">
        <is>
          <t>Acosta</t>
        </is>
      </c>
      <c r="C6" s="57" t="n">
        <v>35</v>
      </c>
      <c r="D6" s="54" t="inlineStr">
        <is>
          <t>Florida</t>
        </is>
      </c>
      <c r="E6" s="54" t="inlineStr">
        <is>
          <t>Acosta is a well-established company with 99 years in the business services and supplies industry, indicating stability and experience. The current leadership under CEO Darian Pickett suggests a potential for growth and innovation, making it an attractive acquisition target.</t>
        </is>
      </c>
      <c r="F6" s="54" t="inlineStr">
        <is>
          <t>Founded in 1927 as L.T. Acosta Co. Inc. in Jacksonville, the company has a long history, although the seller readiness score of 35 indicates some challenges in readiness for sale.</t>
        </is>
      </c>
      <c r="G6" s="54" t="inlineStr">
        <is>
          <t>Acosta's 99 years in business make it a stable acquisition target.</t>
        </is>
      </c>
      <c r="H6" s="54" t="inlineStr">
        <is>
          <t>New</t>
        </is>
      </c>
      <c r="I6" s="54" t="inlineStr"/>
      <c r="J6" s="54" t="n">
        <v>6</v>
      </c>
    </row>
    <row r="7" ht="90" customHeight="1">
      <c r="A7" s="53" t="n">
        <v>6</v>
      </c>
      <c r="B7" s="54" t="inlineStr">
        <is>
          <t>AG GENERAL CONTRACTOR</t>
        </is>
      </c>
      <c r="C7" s="57" t="n">
        <v>35</v>
      </c>
      <c r="D7" s="54" t="inlineStr">
        <is>
          <t>FL</t>
        </is>
      </c>
      <c r="E7" s="54" t="inlineStr">
        <is>
          <t>AG General Contractor is a well-established company with 46 years in the residential building construction industry, indicating stability and experience. The founder-led structure suggests strong leadership and continuity, which can be attractive to potential acquirers.</t>
        </is>
      </c>
      <c r="F7" s="54" t="inlineStr">
        <is>
          <t>The company was founded in 1980 by Guillermo Gaona and Pablo Allamand Sr., and Pablo Allamand is currently listed as the registered agent and holds a managerial position, indicating ongoing founder involvement.</t>
        </is>
      </c>
      <c r="G7" s="54" t="inlineStr">
        <is>
          <t>Established contractor with strong leadership and 46 years of industry experience.</t>
        </is>
      </c>
      <c r="H7" s="54" t="inlineStr">
        <is>
          <t>New</t>
        </is>
      </c>
      <c r="I7" s="54" t="inlineStr"/>
      <c r="J7" s="54" t="n">
        <v>2</v>
      </c>
    </row>
    <row r="8" ht="90" customHeight="1">
      <c r="A8" s="53" t="n">
        <v>7</v>
      </c>
      <c r="B8" s="54" t="inlineStr">
        <is>
          <t>Acosta Group</t>
        </is>
      </c>
      <c r="C8" s="57" t="n">
        <v>35</v>
      </c>
      <c r="D8" s="54" t="inlineStr">
        <is>
          <t>FL</t>
        </is>
      </c>
      <c r="E8" s="54" t="inlineStr">
        <is>
          <t>Acosta Group, with 99 years in the marketing and sales industry, demonstrates significant longevity and experience, making it a compelling acquisition target. The current leadership under CEO Brian Wynne, who has been in position since 2020, suggests a potential for strategic growth and innovation.</t>
        </is>
      </c>
      <c r="F8" s="54" t="inlineStr">
        <is>
          <t>The company was founded in 1927 by Luis Acosta, and it has been operating for nearly a century, indicating stability and expertise in its field. The Seller Readiness Score of 35 suggests some level of preparedness for acquisition.</t>
        </is>
      </c>
      <c r="G8" s="54" t="inlineStr">
        <is>
          <t>Acosta Group's 99 years in business makes it a strong acquisition candidate.</t>
        </is>
      </c>
      <c r="H8" s="54" t="inlineStr">
        <is>
          <t>New</t>
        </is>
      </c>
      <c r="I8" s="54" t="inlineStr"/>
      <c r="J8" s="54" t="n">
        <v>10</v>
      </c>
    </row>
    <row r="9" ht="90" customHeight="1">
      <c r="A9" s="53" t="n">
        <v>8</v>
      </c>
      <c r="B9" s="54" t="inlineStr">
        <is>
          <t>AB Committed Capital</t>
        </is>
      </c>
      <c r="C9" s="57" t="n">
        <v>25</v>
      </c>
      <c r="D9" s="54" t="inlineStr">
        <is>
          <t>Florida</t>
        </is>
      </c>
      <c r="E9" s="54" t="inlineStr">
        <is>
          <t>AB Committed Capital is a relatively new investment firm with a strong family ownership structure, which may appeal to buyers looking for stable, long-term investments. The company's leadership by founders Evan Bozymski and Nicholas Adam suggests a committed management team that could facilitate a smooth transition post-acquisition.</t>
        </is>
      </c>
      <c r="F9" s="54" t="inlineStr">
        <is>
          <t>The company was founded in 2023 and is backed by multiple family offices, indicating it is family-owned. Additionally, the leadership roles of the founders provide a solid foundation for potential growth.</t>
        </is>
      </c>
      <c r="G9" s="54" t="inlineStr">
        <is>
          <t>AB Committed Capital is a promising family-owned investment firm with strong leadership.</t>
        </is>
      </c>
      <c r="H9" s="54" t="inlineStr">
        <is>
          <t>New</t>
        </is>
      </c>
      <c r="I9" s="54" t="inlineStr"/>
      <c r="J9" s="54" t="n">
        <v>7</v>
      </c>
    </row>
    <row r="10" ht="90" customHeight="1">
      <c r="A10" s="53" t="n">
        <v>9</v>
      </c>
      <c r="B10" s="54" t="inlineStr">
        <is>
          <t>AB Committed Capital</t>
        </is>
      </c>
      <c r="C10" s="57" t="n">
        <v>25</v>
      </c>
      <c r="D10" s="54" t="inlineStr">
        <is>
          <t>Unknown</t>
        </is>
      </c>
      <c r="E10" s="54" t="inlineStr">
        <is>
          <t>AB Committed Capital is a strong acquisition target due to its backing from multiple family offices, indicating a solid financial foundation and potential for growth. Additionally, its focus on private investment positions it well within the venture capital and private equity industry.</t>
        </is>
      </c>
      <c r="F10" s="54" t="inlineStr">
        <is>
          <t>The evidence indicates that AB Committed Capital is supported by successful operators through family offices, although specific details about the company, such as its founding year and leadership, are limited.</t>
        </is>
      </c>
      <c r="G10" s="54" t="inlineStr">
        <is>
          <t>Strong acquisition target backed by successful family offices in private investment.</t>
        </is>
      </c>
      <c r="H10" s="54" t="inlineStr">
        <is>
          <t>New</t>
        </is>
      </c>
      <c r="I10" s="54" t="inlineStr"/>
      <c r="J10" s="54" t="n">
        <v>1</v>
      </c>
    </row>
    <row r="11" ht="90" customHeight="1">
      <c r="A11" s="53" t="n">
        <v>10</v>
      </c>
      <c r="B11" s="54" t="inlineStr">
        <is>
          <t>ALARM BROKERS OF FLORIDA LLC</t>
        </is>
      </c>
      <c r="C11" s="57" t="n">
        <v>10</v>
      </c>
      <c r="D11" s="54" t="inlineStr">
        <is>
          <t>Florida</t>
        </is>
      </c>
      <c r="E11" s="54" t="inlineStr">
        <is>
          <t>Alarm Brokers of Florida LLC is a strong acquisition target due to its solid foundation in the security and investigations industry, established by experienced founders. With a high seller readiness score of 10, the company is well-prepared for acquisition.</t>
        </is>
      </c>
      <c r="F11" s="54" t="inlineStr">
        <is>
          <t>The company was founded by industry experts Steve Carulo and Mary Runno in 2016, and it has been in business for 10 years, indicating stability and expertise.</t>
        </is>
      </c>
      <c r="G11" s="54" t="inlineStr">
        <is>
          <t>Strong acquisition target with industry expertise and high seller readiness.</t>
        </is>
      </c>
      <c r="H11" s="54" t="inlineStr">
        <is>
          <t>New</t>
        </is>
      </c>
      <c r="I11" s="54" t="inlineStr"/>
      <c r="J11" s="54" t="n">
        <v>3</v>
      </c>
    </row>
  </sheetData>
  <dataValidations count="1">
    <dataValidation sqref="H2 H3 H4 H5 H6 H7 H8 H9 H10 H11" showDropDown="0" showInputMessage="0" showErrorMessage="0" allowBlank="1" type="list">
      <formula1>"New,Pursuing,Passed,Bad Data"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2026-06-23T09:54:12Z</dcterms:created>
  <dcterms:modified xmlns:dcterms="http://purl.org/dc/terms/" xmlns:xsi="http://www.w3.org/2001/XMLSchema-instance" xsi:type="dcterms:W3CDTF">2026-06-23T09:54:12Z</dcterms:modified>
</cp:coreProperties>
</file>