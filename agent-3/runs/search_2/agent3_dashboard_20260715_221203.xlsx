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anies_DB" sheetId="2" state="visible" r:id="rId2"/>
    <sheet xmlns:r="http://schemas.openxmlformats.org/officeDocument/2006/relationships" name="Top_Companies" sheetId="3" state="visible" r:id="rId3"/>
  </sheets>
  <definedNames>
    <definedName name="_xlnm._FilterDatabase" localSheetId="0" hidden="1">'Dashboard'!$A$25:$K$25</definedName>
    <definedName name="_xlnm._FilterDatabase" localSheetId="1" hidden="1">'Companies_DB'!$A$1:$N$1</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Calibri"/>
      <b val="1"/>
      <color rgb="00FFFFFF"/>
      <sz val="18"/>
    </font>
    <font>
      <name val="Calibri"/>
      <i val="1"/>
      <color rgb="00D1D9E6"/>
      <sz val="10"/>
    </font>
    <font>
      <name val="Calibri"/>
      <b val="1"/>
      <color rgb="00FFFFFF"/>
      <sz val="10"/>
    </font>
    <font>
      <name val="Calibri"/>
      <color rgb="00FFFFFF"/>
      <sz val="10"/>
    </font>
    <font>
      <name val="Calibri"/>
      <b val="1"/>
      <color rgb="00FFFFFF"/>
      <sz val="11"/>
    </font>
    <font>
      <name val="Calibri"/>
      <color rgb="00424242"/>
      <sz val="10"/>
    </font>
    <font>
      <name val="Calibri"/>
      <b val="1"/>
      <color rgb="001B2A4A"/>
      <sz val="24"/>
    </font>
    <font>
      <name val="Calibri"/>
      <i val="1"/>
      <color rgb="00616161"/>
      <sz val="9"/>
    </font>
    <font>
      <name val="Calibri"/>
      <color rgb="00FFFFFF"/>
      <sz val="9"/>
    </font>
    <font>
      <name val="Calibri"/>
      <b val="1"/>
      <color rgb="001B2A4A"/>
      <sz val="11"/>
    </font>
    <font>
      <name val="Calibri"/>
      <sz val="9"/>
    </font>
    <font>
      <name val="Calibri"/>
      <b val="1"/>
      <sz val="10"/>
    </font>
    <font>
      <name val="Calibri"/>
      <sz val="10"/>
    </font>
    <font>
      <name val="Calibri"/>
      <b val="1"/>
      <color rgb="001F7A1F"/>
      <sz val="10"/>
    </font>
  </fonts>
  <fills count="18">
    <fill>
      <patternFill/>
    </fill>
    <fill>
      <patternFill patternType="gray125"/>
    </fill>
    <fill>
      <patternFill patternType="solid">
        <fgColor rgb="001B2A4A"/>
        <bgColor rgb="001B2A4A"/>
      </patternFill>
    </fill>
    <fill>
      <patternFill patternType="solid">
        <fgColor rgb="002E7D8E"/>
        <bgColor rgb="002E7D8E"/>
      </patternFill>
    </fill>
    <fill>
      <patternFill patternType="solid">
        <fgColor rgb="005B3A8E"/>
        <bgColor rgb="005B3A8E"/>
      </patternFill>
    </fill>
    <fill>
      <patternFill patternType="solid">
        <fgColor rgb="001565C0"/>
        <bgColor rgb="001565C0"/>
      </patternFill>
    </fill>
    <fill>
      <patternFill patternType="solid">
        <fgColor rgb="002E7D32"/>
        <bgColor rgb="002E7D32"/>
      </patternFill>
    </fill>
    <fill>
      <patternFill patternType="solid">
        <fgColor rgb="00DCE9F9"/>
        <bgColor rgb="00DCE9F9"/>
      </patternFill>
    </fill>
    <fill>
      <patternFill patternType="solid">
        <fgColor rgb="00DCEFD8"/>
        <bgColor rgb="00DCEFD8"/>
      </patternFill>
    </fill>
    <fill>
      <patternFill patternType="solid">
        <fgColor rgb="00FCF1C9"/>
        <bgColor rgb="00FCF1C9"/>
      </patternFill>
    </fill>
    <fill>
      <patternFill patternType="solid">
        <fgColor rgb="00E6DEF2"/>
        <bgColor rgb="00E6DEF2"/>
      </patternFill>
    </fill>
    <fill>
      <patternFill patternType="solid">
        <fgColor rgb="00DCEAF7"/>
        <bgColor rgb="00DCEAF7"/>
      </patternFill>
    </fill>
    <fill>
      <patternFill patternType="solid">
        <fgColor rgb="00E8F1FB"/>
        <bgColor rgb="00E8F1FB"/>
      </patternFill>
    </fill>
    <fill>
      <patternFill patternType="solid">
        <fgColor rgb="00FFF4D6"/>
        <bgColor rgb="00FFF4D6"/>
      </patternFill>
    </fill>
    <fill>
      <patternFill patternType="solid">
        <fgColor rgb="00EAF6EA"/>
        <bgColor rgb="00EAF6EA"/>
      </patternFill>
    </fill>
    <fill>
      <patternFill patternType="solid">
        <fgColor rgb="00EFF3E6"/>
        <bgColor rgb="00EFF3E6"/>
      </patternFill>
    </fill>
    <fill>
      <patternFill patternType="solid">
        <fgColor rgb="00C6EFCE"/>
        <bgColor rgb="00C6EFCE"/>
      </patternFill>
    </fill>
    <fill>
      <patternFill patternType="solid">
        <fgColor rgb="00FFEB9C"/>
        <bgColor rgb="00FFEB9C"/>
      </patternFill>
    </fill>
  </fills>
  <borders count="4">
    <border>
      <left/>
      <right/>
      <top/>
      <bottom/>
      <diagonal/>
    </border>
    <border>
      <right style="thin">
        <color rgb="003D4A6B"/>
      </right>
    </border>
    <border>
      <left style="thin">
        <color rgb="00D3D3D3"/>
      </left>
      <right style="thin">
        <color rgb="00D3D3D3"/>
      </right>
      <top style="thin">
        <color rgb="00D3D3D3"/>
      </top>
      <bottom style="thin">
        <color rgb="00D3D3D3"/>
      </bottom>
    </border>
    <border>
      <bottom style="thin">
        <color rgb="00E0E0E0"/>
      </bottom>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3" fillId="2" borderId="0" applyAlignment="1" pivotButton="0" quotePrefix="0" xfId="0">
      <alignment horizontal="left" vertical="center"/>
    </xf>
    <xf numFmtId="0" fontId="0" fillId="2" borderId="1" pivotButton="0" quotePrefix="0" xfId="0"/>
    <xf numFmtId="0" fontId="4" fillId="2" borderId="0" applyAlignment="1" pivotButton="0" quotePrefix="0" xfId="0">
      <alignment horizontal="left" vertical="center"/>
    </xf>
    <xf numFmtId="0" fontId="2" fillId="2" borderId="0" applyAlignment="1" pivotButton="0" quotePrefix="0" xfId="0">
      <alignment horizontal="left" vertical="center" indent="1"/>
    </xf>
    <xf numFmtId="0" fontId="5" fillId="2" borderId="0" applyAlignment="1" pivotButton="0" quotePrefix="0" xfId="0">
      <alignment horizontal="left" vertical="center"/>
    </xf>
    <xf numFmtId="0" fontId="3" fillId="3" borderId="0" applyAlignment="1" pivotButton="0" quotePrefix="0" xfId="0">
      <alignment horizontal="left" vertical="center" indent="1"/>
    </xf>
    <xf numFmtId="0" fontId="3" fillId="4" borderId="0" applyAlignment="1" pivotButton="0" quotePrefix="0" xfId="0">
      <alignment horizontal="left" vertical="center" indent="1"/>
    </xf>
    <xf numFmtId="0" fontId="3" fillId="5" borderId="0" applyAlignment="1" pivotButton="0" quotePrefix="0" xfId="0">
      <alignment horizontal="left" vertical="center" indent="1"/>
    </xf>
    <xf numFmtId="0" fontId="3" fillId="6" borderId="0" applyAlignment="1" pivotButton="0" quotePrefix="0" xfId="0">
      <alignment horizontal="left" vertical="center" indent="1"/>
    </xf>
    <xf numFmtId="0" fontId="6" fillId="7" borderId="0" applyAlignment="1" pivotButton="0" quotePrefix="0" xfId="0">
      <alignment horizontal="left" vertical="center" indent="1"/>
    </xf>
    <xf numFmtId="0" fontId="0" fillId="7" borderId="0" pivotButton="0" quotePrefix="0" xfId="0"/>
    <xf numFmtId="0" fontId="6" fillId="8" borderId="0" applyAlignment="1" pivotButton="0" quotePrefix="0" xfId="0">
      <alignment horizontal="left" vertical="center" indent="1"/>
    </xf>
    <xf numFmtId="0" fontId="0" fillId="8" borderId="0" pivotButton="0" quotePrefix="0" xfId="0"/>
    <xf numFmtId="0" fontId="6" fillId="9" borderId="0" applyAlignment="1" pivotButton="0" quotePrefix="0" xfId="0">
      <alignment horizontal="left" vertical="center" indent="1"/>
    </xf>
    <xf numFmtId="0" fontId="0" fillId="9" borderId="0" pivotButton="0" quotePrefix="0" xfId="0"/>
    <xf numFmtId="0" fontId="6" fillId="10" borderId="0" applyAlignment="1" pivotButton="0" quotePrefix="0" xfId="0">
      <alignment horizontal="left" vertical="center" indent="1"/>
    </xf>
    <xf numFmtId="0" fontId="0" fillId="10" borderId="0" pivotButton="0" quotePrefix="0" xfId="0"/>
    <xf numFmtId="0" fontId="6" fillId="11" borderId="0" applyAlignment="1" pivotButton="0" quotePrefix="0" xfId="0">
      <alignment horizontal="left" vertical="center" indent="1"/>
    </xf>
    <xf numFmtId="0" fontId="0" fillId="11" borderId="0" pivotButton="0" quotePrefix="0" xfId="0"/>
    <xf numFmtId="0" fontId="7" fillId="7" borderId="0" applyAlignment="1" pivotButton="0" quotePrefix="0" xfId="0">
      <alignment horizontal="left" vertical="center" indent="1"/>
    </xf>
    <xf numFmtId="0" fontId="7" fillId="8" borderId="0" applyAlignment="1" pivotButton="0" quotePrefix="0" xfId="0">
      <alignment horizontal="left" vertical="center" indent="1"/>
    </xf>
    <xf numFmtId="0" fontId="7" fillId="9" borderId="0" applyAlignment="1" pivotButton="0" quotePrefix="0" xfId="0">
      <alignment horizontal="left" vertical="center" indent="1"/>
    </xf>
    <xf numFmtId="0" fontId="7" fillId="10" borderId="0" applyAlignment="1" pivotButton="0" quotePrefix="0" xfId="0">
      <alignment horizontal="left" vertical="center" indent="1"/>
    </xf>
    <xf numFmtId="0" fontId="7" fillId="11" borderId="0" applyAlignment="1" pivotButton="0" quotePrefix="0" xfId="0">
      <alignment horizontal="left" vertical="center" indent="1"/>
    </xf>
    <xf numFmtId="0" fontId="8" fillId="7" borderId="0" applyAlignment="1" pivotButton="0" quotePrefix="0" xfId="0">
      <alignment horizontal="left" vertical="center" indent="1"/>
    </xf>
    <xf numFmtId="0" fontId="8" fillId="8" borderId="0" applyAlignment="1" pivotButton="0" quotePrefix="0" xfId="0">
      <alignment horizontal="left" vertical="center" indent="1"/>
    </xf>
    <xf numFmtId="0" fontId="8" fillId="9" borderId="0" applyAlignment="1" pivotButton="0" quotePrefix="0" xfId="0">
      <alignment horizontal="left" vertical="center" indent="1"/>
    </xf>
    <xf numFmtId="0" fontId="8" fillId="10" borderId="0" applyAlignment="1" pivotButton="0" quotePrefix="0" xfId="0">
      <alignment horizontal="left" vertical="center" indent="1"/>
    </xf>
    <xf numFmtId="0" fontId="8" fillId="11" borderId="0" applyAlignment="1" pivotButton="0" quotePrefix="0" xfId="0">
      <alignment horizontal="left" vertical="center" indent="1"/>
    </xf>
    <xf numFmtId="0" fontId="9" fillId="0" borderId="0" pivotButton="0" quotePrefix="0" xfId="0"/>
    <xf numFmtId="0" fontId="10" fillId="12" borderId="2" applyAlignment="1" pivotButton="0" quotePrefix="0" xfId="0">
      <alignment horizontal="center" vertical="center" wrapText="1"/>
    </xf>
    <xf numFmtId="0" fontId="0" fillId="0" borderId="2" pivotButton="0" quotePrefix="0" xfId="0"/>
    <xf numFmtId="0" fontId="5" fillId="2" borderId="0" applyAlignment="1" pivotButton="0" quotePrefix="0" xfId="0">
      <alignment horizontal="left" vertical="center" indent="1"/>
    </xf>
    <xf numFmtId="0" fontId="11" fillId="15" borderId="0" applyAlignment="1" pivotButton="0" quotePrefix="0" xfId="0">
      <alignment vertical="center" wrapText="1" indent="1"/>
    </xf>
    <xf numFmtId="0" fontId="0" fillId="15" borderId="0" pivotButton="0" quotePrefix="0" xfId="0"/>
    <xf numFmtId="0" fontId="10" fillId="13" borderId="2" applyAlignment="1" pivotButton="0" quotePrefix="0" xfId="0">
      <alignment horizontal="center" vertical="center" wrapText="1"/>
    </xf>
    <xf numFmtId="0" fontId="10" fillId="14" borderId="2" applyAlignment="1" pivotButton="0" quotePrefix="0" xfId="0">
      <alignment horizontal="center" vertical="center" wrapText="1"/>
    </xf>
    <xf numFmtId="0" fontId="3" fillId="2" borderId="0" applyAlignment="1" pivotButton="0" quotePrefix="0" xfId="0">
      <alignment horizontal="center" vertical="center" wrapText="1"/>
    </xf>
    <xf numFmtId="0" fontId="12" fillId="0" borderId="0" applyAlignment="1" pivotButton="0" quotePrefix="0" xfId="0">
      <alignment horizontal="center" vertical="center"/>
    </xf>
    <xf numFmtId="0" fontId="13" fillId="0" borderId="3" applyAlignment="1" pivotButton="0" quotePrefix="0" xfId="0">
      <alignment vertical="center" wrapText="1"/>
    </xf>
    <xf numFmtId="0" fontId="13" fillId="0" borderId="3" applyAlignment="1" pivotButton="0" quotePrefix="0" xfId="0">
      <alignment vertical="center"/>
    </xf>
    <xf numFmtId="0" fontId="13" fillId="0" borderId="3" applyAlignment="1" pivotButton="0" quotePrefix="0" xfId="0">
      <alignment horizontal="center" vertical="center"/>
    </xf>
    <xf numFmtId="0" fontId="12" fillId="16" borderId="3" applyAlignment="1" pivotButton="0" quotePrefix="0" xfId="0">
      <alignment horizontal="center" vertical="center"/>
    </xf>
    <xf numFmtId="0" fontId="14" fillId="0" borderId="3" applyAlignment="1" pivotButton="0" quotePrefix="0" xfId="0">
      <alignment vertical="center"/>
    </xf>
    <xf numFmtId="0" fontId="12" fillId="17" borderId="3" applyAlignment="1" pivotButton="0" quotePrefix="0" xfId="0">
      <alignment horizontal="center" vertical="center"/>
    </xf>
    <xf numFmtId="0" fontId="3" fillId="2" borderId="0" applyAlignment="1" pivotButton="0" quotePrefix="0" xfId="0">
      <alignment horizontal="center" wrapText="1"/>
    </xf>
    <xf numFmtId="0" fontId="13" fillId="0" borderId="3" pivotButton="0" quotePrefix="0" xfId="0"/>
    <xf numFmtId="0" fontId="13" fillId="16" borderId="3" pivotButton="0" quotePrefix="0" xfId="0"/>
    <xf numFmtId="164" fontId="13" fillId="0" borderId="3" pivotButton="0" quotePrefix="0" xfId="0"/>
    <xf numFmtId="0" fontId="13" fillId="17" borderId="3" pivotButton="0" quotePrefix="0" xfId="0"/>
    <xf numFmtId="0" fontId="12" fillId="0" borderId="0" pivotButton="0" quotePrefix="0" xfId="0"/>
    <xf numFmtId="0" fontId="13" fillId="0" borderId="3" applyAlignment="1" pivotButton="0" quotePrefix="0" xfId="0">
      <alignment vertical="top" wrapText="1"/>
    </xf>
    <xf numFmtId="0" fontId="12" fillId="16" borderId="3" applyAlignment="1" pivotButton="0" quotePrefix="0" xfId="0">
      <alignment vertical="top" wrapText="1"/>
    </xf>
    <xf numFmtId="0" fontId="12" fillId="17"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TARGETS BY GEOGRAPHY</a:t>
            </a:r>
          </a:p>
        </rich>
      </tx>
    </title>
    <plotArea>
      <pieChart>
        <varyColors val="1"/>
        <ser>
          <idx val="0"/>
          <order val="0"/>
          <tx>
            <strRef>
              <f>'Dashboard'!B11</f>
            </strRef>
          </tx>
          <spPr>
            <a:ln xmlns:a="http://schemas.openxmlformats.org/drawingml/2006/main">
              <a:prstDash val="solid"/>
            </a:ln>
          </spPr>
          <cat>
            <numRef>
              <f>'Dashboard'!$A$12</f>
            </numRef>
          </cat>
          <val>
            <numRef>
              <f>'Dashboard'!$B$12</f>
            </numRef>
          </val>
        </ser>
        <dLbls>
          <showLegendKey val="0"/>
          <showVal val="0"/>
          <showCatName val="0"/>
          <showSerName val="0"/>
          <showPercent val="1"/>
        </dLbls>
        <firstSliceAng val="0"/>
      </pieChart>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SELLER READINESS SCORE DISTRIBUTION</a:t>
            </a:r>
          </a:p>
        </rich>
      </tx>
    </title>
    <plotArea>
      <barChart>
        <barDir val="col"/>
        <grouping val="clustered"/>
        <ser>
          <idx val="0"/>
          <order val="0"/>
          <tx>
            <strRef>
              <f>'Dashboard'!E11</f>
            </strRef>
          </tx>
          <spPr>
            <a:ln xmlns:a="http://schemas.openxmlformats.org/drawingml/2006/main">
              <a:prstDash val="solid"/>
            </a:ln>
          </spPr>
          <cat>
            <numRef>
              <f>'Dashboard'!$D$12:$D$15</f>
            </numRef>
          </cat>
          <val>
            <numRef>
              <f>'Dashboard'!$E$12:$E$15</f>
            </numRef>
          </val>
        </ser>
        <dLbls>
          <showLegendKey val="0"/>
          <showVal val="1"/>
          <showCatName val="0"/>
          <showSerName val="0"/>
        </dLbls>
        <gapWidth val="50"/>
        <axId val="10"/>
        <axId val="100"/>
      </barChart>
      <catAx>
        <axId val="10"/>
        <scaling>
          <orientation val="minMax"/>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INDUSTRY BREAKDOWN</a:t>
            </a:r>
          </a:p>
        </rich>
      </tx>
    </title>
    <plotArea>
      <barChart>
        <barDir val="bar"/>
        <grouping val="clustered"/>
        <ser>
          <idx val="0"/>
          <order val="0"/>
          <tx>
            <strRef>
              <f>'Dashboard'!H11</f>
            </strRef>
          </tx>
          <spPr>
            <a:ln xmlns:a="http://schemas.openxmlformats.org/drawingml/2006/main">
              <a:prstDash val="solid"/>
            </a:ln>
          </spPr>
          <cat>
            <numRef>
              <f>'Dashboard'!$G$12:$G$15</f>
            </numRef>
          </cat>
          <val>
            <numRef>
              <f>'Dashboard'!$H$12:$H$15</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10</row>
      <rowOff>0</rowOff>
    </from>
    <ext cx="21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10</row>
      <rowOff>0</rowOff>
    </from>
    <ext cx="21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10</row>
      <rowOff>0</rowOff>
    </from>
    <ext cx="252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6" customWidth="1" min="1" max="1"/>
    <col width="26" customWidth="1" min="2" max="2"/>
    <col width="20" customWidth="1" min="3" max="3"/>
    <col width="14" customWidth="1" min="4" max="4"/>
    <col width="14" customWidth="1" min="5" max="5"/>
    <col width="10" customWidth="1" min="6" max="6"/>
    <col width="13" customWidth="1" min="7" max="7"/>
    <col width="16" customWidth="1" min="8" max="8"/>
    <col width="12" customWidth="1" min="9" max="9"/>
    <col width="32" customWidth="1" min="10" max="10"/>
    <col width="14"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26" customHeight="1">
      <c r="A1" s="1" t="inlineStr">
        <is>
          <t>Business Acquisition Targeting Dashboard</t>
        </is>
      </c>
      <c r="B1" s="2" t="n"/>
      <c r="C1" s="2" t="n"/>
      <c r="D1" s="2" t="n"/>
      <c r="E1" s="2" t="n"/>
      <c r="F1" s="2" t="n"/>
      <c r="G1" s="2" t="n"/>
      <c r="H1" s="3" t="inlineStr">
        <is>
          <t>Geography:</t>
        </is>
      </c>
      <c r="I1" s="4" t="n"/>
      <c r="J1" s="5" t="inlineStr">
        <is>
          <t>Data as of:</t>
        </is>
      </c>
      <c r="K1" s="2" t="n"/>
    </row>
    <row r="2" ht="18" customHeight="1">
      <c r="A2" s="6" t="inlineStr">
        <is>
          <t>Surface family-owned, founder-led businesses that fit the acquisition profile</t>
        </is>
      </c>
      <c r="B2" s="2" t="n"/>
      <c r="C2" s="2" t="n"/>
      <c r="D2" s="2" t="n"/>
      <c r="E2" s="2" t="n"/>
      <c r="F2" s="2" t="n"/>
      <c r="G2" s="2" t="n"/>
      <c r="H2" s="5" t="inlineStr">
        <is>
          <t>Florida</t>
        </is>
      </c>
      <c r="I2" s="4" t="n"/>
      <c r="J2" s="7" t="inlineStr">
        <is>
          <t>15-Jul-2026 10:12 PM</t>
        </is>
      </c>
      <c r="K2" s="2" t="n"/>
    </row>
    <row r="3" ht="4" customHeight="1">
      <c r="A3" s="2" t="n"/>
      <c r="B3" s="2" t="n"/>
      <c r="C3" s="2" t="n"/>
      <c r="D3" s="2" t="n"/>
      <c r="E3" s="2" t="n"/>
      <c r="F3" s="2" t="n"/>
      <c r="G3" s="2" t="n"/>
      <c r="H3" s="2" t="n"/>
      <c r="I3" s="2" t="n"/>
      <c r="J3" s="2" t="n"/>
      <c r="K3" s="2" t="n"/>
    </row>
    <row r="4" ht="24" customHeight="1">
      <c r="A4" s="8" t="inlineStr">
        <is>
          <t xml:space="preserve">  Founder-Led:  5</t>
        </is>
      </c>
      <c r="D4" s="9" t="inlineStr">
        <is>
          <t xml:space="preserve">  Family-Owned:  18</t>
        </is>
      </c>
      <c r="G4" s="10" t="inlineStr">
        <is>
          <t xml:space="preserve">  Highest Score:  105</t>
        </is>
      </c>
      <c r="J4" s="11" t="inlineStr">
        <is>
          <t xml:space="preserve">  New Today:  18</t>
        </is>
      </c>
    </row>
    <row r="5" ht="4" customHeight="1">
      <c r="A5" s="2" t="n"/>
      <c r="B5" s="2" t="n"/>
      <c r="C5" s="2" t="n"/>
      <c r="D5" s="2" t="n"/>
      <c r="E5" s="2" t="n"/>
      <c r="F5" s="2" t="n"/>
      <c r="G5" s="2" t="n"/>
      <c r="H5" s="2" t="n"/>
      <c r="I5" s="2" t="n"/>
      <c r="J5" s="2" t="n"/>
      <c r="K5" s="2" t="n"/>
    </row>
    <row r="6" ht="18" customHeight="1">
      <c r="A6" s="12" t="inlineStr">
        <is>
          <t>🎯 Total Targets Found</t>
        </is>
      </c>
      <c r="B6" s="13" t="n"/>
      <c r="C6" s="14" t="inlineStr">
        <is>
          <t>➕ New This Week</t>
        </is>
      </c>
      <c r="D6" s="15" t="n"/>
      <c r="E6" s="16" t="inlineStr">
        <is>
          <t>⭐ Shortlisted</t>
        </is>
      </c>
      <c r="F6" s="17" t="n"/>
      <c r="G6" s="17" t="n"/>
      <c r="H6" s="18" t="inlineStr">
        <is>
          <t>📋 In Review</t>
        </is>
      </c>
      <c r="I6" s="19" t="n"/>
      <c r="J6" s="20" t="inlineStr">
        <is>
          <t>✅ Reviewed</t>
        </is>
      </c>
      <c r="K6" s="21" t="n"/>
    </row>
    <row r="7" ht="30" customHeight="1">
      <c r="A7" s="22" t="n">
        <v>18</v>
      </c>
      <c r="B7" s="13" t="n"/>
      <c r="C7" s="23" t="n">
        <v>18</v>
      </c>
      <c r="D7" s="15" t="n"/>
      <c r="E7" s="24" t="n">
        <v>0</v>
      </c>
      <c r="F7" s="17" t="n"/>
      <c r="G7" s="17" t="n"/>
      <c r="H7" s="25" t="n">
        <v>18</v>
      </c>
      <c r="I7" s="19" t="n"/>
      <c r="J7" s="26" t="n">
        <v>0</v>
      </c>
      <c r="K7" s="21" t="n"/>
    </row>
    <row r="8" ht="16" customHeight="1">
      <c r="A8" s="27" t="inlineStr">
        <is>
          <t>All Time</t>
        </is>
      </c>
      <c r="B8" s="13" t="n"/>
      <c r="C8" s="28" t="inlineStr">
        <is>
          <t>vs Last Week: ↑ 16</t>
        </is>
      </c>
      <c r="D8" s="15" t="n"/>
      <c r="E8" s="29" t="inlineStr">
        <is>
          <t>vs Last Week: — 0</t>
        </is>
      </c>
      <c r="F8" s="17" t="n"/>
      <c r="G8" s="17" t="n"/>
      <c r="H8" s="30" t="inlineStr">
        <is>
          <t>vs Last Week: ↑ 16</t>
        </is>
      </c>
      <c r="I8" s="19" t="n"/>
      <c r="J8" s="31" t="inlineStr">
        <is>
          <t>vs Last Week: — 0</t>
        </is>
      </c>
      <c r="K8" s="21" t="n"/>
    </row>
    <row r="9" ht="8" customHeight="1">
      <c r="A9" s="13" t="n"/>
      <c r="B9" s="13" t="n"/>
      <c r="C9" s="15" t="n"/>
      <c r="D9" s="15" t="n"/>
      <c r="E9" s="17" t="n"/>
      <c r="F9" s="17" t="n"/>
      <c r="G9" s="17" t="n"/>
      <c r="H9" s="19" t="n"/>
      <c r="I9" s="19" t="n"/>
      <c r="J9" s="21" t="n"/>
      <c r="K9" s="21" t="n"/>
    </row>
    <row r="11" ht="22" customHeight="1">
      <c r="A11" s="32" t="inlineStr">
        <is>
          <t>State</t>
        </is>
      </c>
      <c r="B11" s="32" t="inlineStr">
        <is>
          <t>Count</t>
        </is>
      </c>
      <c r="D11" s="32" t="inlineStr">
        <is>
          <t>Band</t>
        </is>
      </c>
      <c r="E11" s="32" t="inlineStr">
        <is>
          <t>Count</t>
        </is>
      </c>
      <c r="G11" s="32" t="inlineStr">
        <is>
          <t>Industry</t>
        </is>
      </c>
      <c r="H11" s="33" t="inlineStr">
        <is>
          <t>📍 TOP GEOGRAPHY
Florida</t>
        </is>
      </c>
      <c r="I11" s="34" t="n"/>
      <c r="J11" s="35" t="inlineStr">
        <is>
          <t>Key Insights</t>
        </is>
      </c>
    </row>
    <row r="12" ht="16" customHeight="1">
      <c r="A12" s="32" t="inlineStr">
        <is>
          <t>Florida</t>
        </is>
      </c>
      <c r="B12" s="32" t="n">
        <v>18</v>
      </c>
      <c r="D12" s="32" t="inlineStr">
        <is>
          <t>20-40</t>
        </is>
      </c>
      <c r="E12" s="32" t="n">
        <v>0</v>
      </c>
      <c r="G12" s="32" t="inlineStr">
        <is>
          <t>Commercial Printin...</t>
        </is>
      </c>
      <c r="H12" s="34" t="n"/>
      <c r="I12" s="34" t="n"/>
      <c r="J12" s="36" t="inlineStr">
        <is>
          <t>• ✓ Founder-Led: 28%</t>
        </is>
      </c>
      <c r="K12" s="37" t="n"/>
    </row>
    <row r="13" ht="16" customHeight="1">
      <c r="D13" s="32" t="inlineStr">
        <is>
          <t>40-60</t>
        </is>
      </c>
      <c r="E13" s="32" t="n">
        <v>0</v>
      </c>
      <c r="G13" s="32" t="inlineStr">
        <is>
          <t>Metal Fabrication ...</t>
        </is>
      </c>
      <c r="H13" s="34" t="n"/>
      <c r="I13" s="34" t="n"/>
      <c r="J13" s="37" t="n"/>
      <c r="K13" s="37" t="n"/>
    </row>
    <row r="14" ht="16" customHeight="1">
      <c r="D14" s="32" t="inlineStr">
        <is>
          <t>60-80</t>
        </is>
      </c>
      <c r="E14" s="32" t="n">
        <v>15</v>
      </c>
      <c r="G14" s="32" t="inlineStr">
        <is>
          <t>Residential Constr...</t>
        </is>
      </c>
      <c r="H14" s="32" t="n">
        <v>1</v>
      </c>
      <c r="J14" s="36" t="inlineStr">
        <is>
          <t>• 🏠 Family-Owned: 100%</t>
        </is>
      </c>
      <c r="K14" s="37" t="n"/>
    </row>
    <row r="15" ht="16" customHeight="1">
      <c r="D15" s="32" t="inlineStr">
        <is>
          <t>80-100</t>
        </is>
      </c>
      <c r="E15" s="32" t="n">
        <v>0</v>
      </c>
      <c r="G15" s="32" t="inlineStr">
        <is>
          <t>Specialty Food Imp...</t>
        </is>
      </c>
      <c r="H15" s="38" t="inlineStr">
        <is>
          <t>⭐ HIGHEST SCORE
105</t>
        </is>
      </c>
      <c r="I15" s="34" t="n"/>
      <c r="J15" s="37" t="n"/>
      <c r="K15" s="37" t="n"/>
    </row>
    <row r="16" ht="16" customHeight="1">
      <c r="H16" s="34" t="n"/>
      <c r="I16" s="34" t="n"/>
      <c r="J16" s="36" t="inlineStr">
        <is>
          <t>• 📍 Top Geography: Florida</t>
        </is>
      </c>
      <c r="K16" s="37" t="n"/>
    </row>
    <row r="17" ht="16" customHeight="1">
      <c r="H17" s="34" t="n"/>
      <c r="I17" s="34" t="n"/>
      <c r="J17" s="37" t="n"/>
      <c r="K17" s="37" t="n"/>
    </row>
    <row r="18" ht="16" customHeight="1">
      <c r="J18" s="36" t="inlineStr">
        <is>
          <t>• 🆕 New Targets: 18</t>
        </is>
      </c>
      <c r="K18" s="37" t="n"/>
    </row>
    <row r="19" ht="16" customHeight="1">
      <c r="H19" s="39" t="inlineStr">
        <is>
          <t>🏆 TOP INDUSTRY
Commercial Printin...</t>
        </is>
      </c>
      <c r="I19" s="34" t="n"/>
      <c r="J19" s="37" t="n"/>
      <c r="K19" s="37" t="n"/>
    </row>
    <row r="20" ht="16" customHeight="1">
      <c r="H20" s="34" t="n"/>
      <c r="I20" s="34" t="n"/>
      <c r="J20" s="36" t="inlineStr">
        <is>
          <t>• ⭐ High Scorers (80+): 3</t>
        </is>
      </c>
      <c r="K20" s="37" t="n"/>
    </row>
    <row r="21" ht="16" customHeight="1">
      <c r="H21" s="34" t="n"/>
      <c r="I21" s="34" t="n"/>
      <c r="J21" s="37" t="n"/>
      <c r="K21" s="37" t="n"/>
    </row>
    <row r="22" ht="16" customHeight="1">
      <c r="H22" s="34" t="n"/>
      <c r="I22" s="34" t="n"/>
      <c r="J22" s="37" t="n"/>
      <c r="K22" s="37" t="n"/>
    </row>
    <row r="25" ht="26" customHeight="1">
      <c r="A25" s="40" t="inlineStr">
        <is>
          <t>Rank</t>
        </is>
      </c>
      <c r="B25" s="40" t="inlineStr">
        <is>
          <t>Company Name</t>
        </is>
      </c>
      <c r="C25" s="40" t="inlineStr">
        <is>
          <t>Founder Name</t>
        </is>
      </c>
      <c r="D25" s="40" t="inlineStr">
        <is>
          <t>Founder Age (Est.)</t>
        </is>
      </c>
      <c r="E25" s="40" t="inlineStr">
        <is>
          <t>Years in Business</t>
        </is>
      </c>
      <c r="F25" s="40" t="inlineStr">
        <is>
          <t>State</t>
        </is>
      </c>
      <c r="G25" s="40" t="inlineStr">
        <is>
          <t>Readiness Score</t>
        </is>
      </c>
      <c r="H25" s="40" t="inlineStr">
        <is>
          <t>Ownership Status</t>
        </is>
      </c>
      <c r="I25" s="40" t="inlineStr">
        <is>
          <t>Status</t>
        </is>
      </c>
      <c r="J25" s="40" t="inlineStr">
        <is>
          <t>Why Selected</t>
        </is>
      </c>
      <c r="K25" s="40" t="inlineStr">
        <is>
          <t>Ownership Tenure</t>
        </is>
      </c>
    </row>
    <row r="26">
      <c r="A26" s="41" t="n">
        <v>1</v>
      </c>
      <c r="B26" s="42" t="inlineStr">
        <is>
          <t>Charles Clayton Construction</t>
        </is>
      </c>
      <c r="C26" s="42" t="inlineStr">
        <is>
          <t>Charles "Charlie" Clayton III</t>
        </is>
      </c>
      <c r="D26" s="43" t="inlineStr">
        <is>
          <t>Approximately 59 years old as of a 2020 profile (would be approximately 65 in 2026)</t>
        </is>
      </c>
      <c r="E26" s="44" t="n">
        <v>32</v>
      </c>
      <c r="F26" s="43" t="inlineStr">
        <is>
          <t>FL</t>
        </is>
      </c>
      <c r="G26" s="45" t="n">
        <v>105</v>
      </c>
      <c r="H26" s="43" t="inlineStr">
        <is>
          <t>Founder Owned</t>
        </is>
      </c>
      <c r="I26" s="46" t="inlineStr">
        <is>
          <t>New</t>
        </is>
      </c>
      <c r="J26" s="42" t="inlineStr">
        <is>
          <t>Founder-led Florida custom homebuilder, ~32 years in business, founder nearing retirement age.</t>
        </is>
      </c>
      <c r="K26" s="43" t="n">
        <v>32</v>
      </c>
    </row>
    <row r="27">
      <c r="A27" s="41" t="n">
        <v>2</v>
      </c>
      <c r="B27" s="42" t="inlineStr">
        <is>
          <t>Prime Line</t>
        </is>
      </c>
      <c r="C27" s="42" t="inlineStr">
        <is>
          <t>Gianni Landi</t>
        </is>
      </c>
      <c r="D27" s="43" t="inlineStr">
        <is>
          <t>Unknown</t>
        </is>
      </c>
      <c r="E27" s="44" t="n">
        <v>45</v>
      </c>
      <c r="F27" s="43" t="inlineStr">
        <is>
          <t>Florida</t>
        </is>
      </c>
      <c r="G27" s="45" t="n">
        <v>100</v>
      </c>
      <c r="H27" s="43" t="inlineStr">
        <is>
          <t>Family Owned</t>
        </is>
      </c>
      <c r="I27" s="46" t="inlineStr">
        <is>
          <t>New</t>
        </is>
      </c>
      <c r="J27" s="42" t="inlineStr">
        <is>
          <t>45-year-old family-owned Florida specialty food distributor with $45M+ estimated revenue and top readiness score.</t>
        </is>
      </c>
      <c r="K27" s="43" t="n">
        <v>45</v>
      </c>
    </row>
    <row r="28">
      <c r="A28" s="41" t="n">
        <v>3</v>
      </c>
      <c r="B28" s="42" t="inlineStr">
        <is>
          <t>Monterey Boats (Marine Industries of Florida)</t>
        </is>
      </c>
      <c r="C28" s="42" t="inlineStr">
        <is>
          <t>Charles Marshall and Jeff Marshall</t>
        </is>
      </c>
      <c r="D28" s="43" t="inlineStr">
        <is>
          <t>Unknown</t>
        </is>
      </c>
      <c r="E28" s="44" t="n">
        <v>41</v>
      </c>
      <c r="F28" s="43" t="inlineStr">
        <is>
          <t>FL</t>
        </is>
      </c>
      <c r="G28" s="45" t="n">
        <v>100</v>
      </c>
      <c r="H28" s="43" t="inlineStr">
        <is>
          <t>Founder Owned</t>
        </is>
      </c>
      <c r="I28" s="46" t="inlineStr">
        <is>
          <t>New</t>
        </is>
      </c>
      <c r="J28" s="42" t="inlineStr">
        <is>
          <t>41-year-old founder-led, family-owned boat maker with $83M revenue and top seller-readiness score.</t>
        </is>
      </c>
      <c r="K28" s="43" t="n">
        <v>41</v>
      </c>
    </row>
    <row r="29">
      <c r="A29" s="41" t="n">
        <v>4</v>
      </c>
      <c r="B29" s="42" t="inlineStr">
        <is>
          <t>Cleveland Bass and Movers</t>
        </is>
      </c>
      <c r="C29" s="42" t="inlineStr">
        <is>
          <t>Cleveland Bass</t>
        </is>
      </c>
      <c r="D29" s="43" t="inlineStr">
        <is>
          <t>Unknown</t>
        </is>
      </c>
      <c r="E29" s="44" t="n">
        <v>57</v>
      </c>
      <c r="F29" s="43" t="inlineStr">
        <is>
          <t>FL</t>
        </is>
      </c>
      <c r="G29" s="45" t="n">
        <v>75</v>
      </c>
      <c r="H29" s="43" t="inlineStr">
        <is>
          <t>Family Owned</t>
        </is>
      </c>
      <c r="I29" s="46" t="inlineStr">
        <is>
          <t>New</t>
        </is>
      </c>
      <c r="J29" s="42" t="inlineStr">
        <is>
          <t>57-year-old family-owned FL mover, licensed and rooted in legacy, scores 75 on seller readiness.</t>
        </is>
      </c>
      <c r="K29" s="43" t="n">
        <v>22</v>
      </c>
    </row>
    <row r="30">
      <c r="A30" s="41" t="n">
        <v>5</v>
      </c>
      <c r="B30" s="42" t="inlineStr">
        <is>
          <t>Roberson Funeral Home &amp; Crematory</t>
        </is>
      </c>
      <c r="C30" s="42" t="inlineStr">
        <is>
          <t>Kenneth L. Roberson</t>
        </is>
      </c>
      <c r="D30" s="43" t="inlineStr">
        <is>
          <t>Unknown</t>
        </is>
      </c>
      <c r="E30" s="44" t="n">
        <v>50</v>
      </c>
      <c r="F30" s="43" t="inlineStr">
        <is>
          <t>FL</t>
        </is>
      </c>
      <c r="G30" s="45" t="n">
        <v>75</v>
      </c>
      <c r="H30" s="43" t="inlineStr">
        <is>
          <t>Family Owned</t>
        </is>
      </c>
      <c r="I30" s="46" t="inlineStr">
        <is>
          <t>New</t>
        </is>
      </c>
      <c r="J30" s="42" t="inlineStr">
        <is>
          <t>50-year-old family-run FL funeral home with second-gen leadership and high seller-readiness score.</t>
        </is>
      </c>
      <c r="K30" s="43" t="n"/>
    </row>
    <row r="31">
      <c r="A31" s="41" t="n">
        <v>6</v>
      </c>
      <c r="B31" s="42" t="inlineStr">
        <is>
          <t>Metro Steel USA</t>
        </is>
      </c>
      <c r="C31" s="42" t="inlineStr">
        <is>
          <t>Charles "Chuck" Shepherd</t>
        </is>
      </c>
      <c r="D31" s="43" t="inlineStr">
        <is>
          <t>Unknown</t>
        </is>
      </c>
      <c r="E31" s="44" t="n">
        <v>52</v>
      </c>
      <c r="F31" s="43" t="inlineStr">
        <is>
          <t>Florida</t>
        </is>
      </c>
      <c r="G31" s="45" t="n">
        <v>75</v>
      </c>
      <c r="H31" s="43" t="inlineStr">
        <is>
          <t>Family Owned</t>
        </is>
      </c>
      <c r="I31" s="46" t="inlineStr">
        <is>
          <t>New</t>
        </is>
      </c>
      <c r="J31" s="42" t="inlineStr">
        <is>
          <t>52-year-old family-owned steel fabricator with strong certifications and a high readiness score.</t>
        </is>
      </c>
      <c r="K31" s="43" t="n">
        <v>25</v>
      </c>
    </row>
    <row r="32">
      <c r="A32" s="41" t="n">
        <v>7</v>
      </c>
      <c r="B32" s="42" t="inlineStr">
        <is>
          <t>All Florida Mechanical Services</t>
        </is>
      </c>
      <c r="C32" s="42" t="inlineStr">
        <is>
          <t>Unknown</t>
        </is>
      </c>
      <c r="D32" s="43" t="inlineStr">
        <is>
          <t>Unknown</t>
        </is>
      </c>
      <c r="E32" s="44" t="n">
        <v>44</v>
      </c>
      <c r="F32" s="43" t="inlineStr">
        <is>
          <t>Florida</t>
        </is>
      </c>
      <c r="G32" s="45" t="n">
        <v>70</v>
      </c>
      <c r="H32" s="43" t="inlineStr">
        <is>
          <t>Family Owned</t>
        </is>
      </c>
      <c r="I32" s="46" t="inlineStr">
        <is>
          <t>New</t>
        </is>
      </c>
      <c r="J32" s="42" t="inlineStr">
        <is>
          <t>44-year-old family-owned Florida HVAC contractor with multi-state reach and Inc. 5000 recognition.</t>
        </is>
      </c>
      <c r="K32" s="43" t="n">
        <v>10</v>
      </c>
    </row>
    <row r="33">
      <c r="A33" s="41" t="n">
        <v>8</v>
      </c>
      <c r="B33" s="42" t="inlineStr">
        <is>
          <t>Great Bay Distributors</t>
        </is>
      </c>
      <c r="C33" s="42" t="inlineStr">
        <is>
          <t>Claude and Nina Focardi</t>
        </is>
      </c>
      <c r="D33" s="43" t="inlineStr">
        <is>
          <t>Unknown</t>
        </is>
      </c>
      <c r="E33" s="44" t="n">
        <v>58</v>
      </c>
      <c r="F33" s="43" t="inlineStr">
        <is>
          <t>Florida</t>
        </is>
      </c>
      <c r="G33" s="47" t="n">
        <v>60</v>
      </c>
      <c r="H33" s="43" t="inlineStr">
        <is>
          <t>Family Owned</t>
        </is>
      </c>
      <c r="I33" s="46" t="inlineStr">
        <is>
          <t>New</t>
        </is>
      </c>
      <c r="J33" s="42" t="inlineStr">
        <is>
          <t>58-year-old family-owned Florida beverage distributor with major infrastructure and scale, revenue unclear.</t>
        </is>
      </c>
      <c r="K33" s="43" t="n"/>
    </row>
    <row r="34">
      <c r="A34" s="41" t="n">
        <v>9</v>
      </c>
      <c r="B34" s="42" t="inlineStr">
        <is>
          <t>E.O. Painter Printing Co.</t>
        </is>
      </c>
      <c r="C34" s="42" t="inlineStr">
        <is>
          <t>E.O. Painter</t>
        </is>
      </c>
      <c r="D34" s="43" t="inlineStr">
        <is>
          <t>Unknown</t>
        </is>
      </c>
      <c r="E34" s="44" t="n">
        <v>148</v>
      </c>
      <c r="F34" s="43" t="inlineStr">
        <is>
          <t>FL</t>
        </is>
      </c>
      <c r="G34" s="47" t="n">
        <v>60</v>
      </c>
      <c r="H34" s="43" t="inlineStr">
        <is>
          <t>Family Owned</t>
        </is>
      </c>
      <c r="I34" s="46" t="inlineStr">
        <is>
          <t>New</t>
        </is>
      </c>
      <c r="J34" s="42" t="inlineStr">
        <is>
          <t>Legacy 1878 FL printer dissolved in 2024; customers absorbed by family-owned successor business.</t>
        </is>
      </c>
      <c r="K34" s="43" t="n"/>
    </row>
    <row r="35">
      <c r="A35" s="41" t="n">
        <v>10</v>
      </c>
      <c r="B35" s="42" t="inlineStr">
        <is>
          <t>Needham Enterprises</t>
        </is>
      </c>
      <c r="C35" s="42" t="inlineStr">
        <is>
          <t>Unknown</t>
        </is>
      </c>
      <c r="D35" s="43" t="inlineStr">
        <is>
          <t>Unknown</t>
        </is>
      </c>
      <c r="E35" s="44" t="n">
        <v>43</v>
      </c>
      <c r="F35" s="43" t="inlineStr">
        <is>
          <t>FL</t>
        </is>
      </c>
      <c r="G35" s="47" t="n">
        <v>60</v>
      </c>
      <c r="H35" s="43" t="inlineStr">
        <is>
          <t>Family Owned</t>
        </is>
      </c>
      <c r="I35" s="46" t="inlineStr">
        <is>
          <t>New</t>
        </is>
      </c>
      <c r="J35" s="42" t="inlineStr">
        <is>
          <t>Established 43-year family-owned FL plumbing/electrical contractor with active licenses and 800+ permitted projects.</t>
        </is>
      </c>
      <c r="K35" s="43" t="n"/>
    </row>
    <row r="36">
      <c r="A36" s="41" t="n">
        <v>11</v>
      </c>
      <c r="B36" s="42" t="inlineStr">
        <is>
          <t>Martinez Distributors Inc.</t>
        </is>
      </c>
      <c r="C36" s="42" t="inlineStr">
        <is>
          <t>Fabian J. Martinez</t>
        </is>
      </c>
      <c r="D36" s="43" t="inlineStr">
        <is>
          <t>Unknown</t>
        </is>
      </c>
      <c r="E36" s="44" t="n">
        <v>29</v>
      </c>
      <c r="F36" s="43" t="inlineStr">
        <is>
          <t>FL</t>
        </is>
      </c>
      <c r="G36" s="47" t="n">
        <v>60</v>
      </c>
      <c r="H36" s="43" t="inlineStr">
        <is>
          <t>Family Owned</t>
        </is>
      </c>
      <c r="I36" s="46" t="inlineStr">
        <is>
          <t>New</t>
        </is>
      </c>
      <c r="J36" s="42" t="inlineStr">
        <is>
          <t>Family-owned Florida food distributor with 29 years of operations and multi-site retail/wholesale footprint.</t>
        </is>
      </c>
      <c r="K36" s="43" t="n"/>
    </row>
    <row r="37">
      <c r="A37" s="41" t="n">
        <v>12</v>
      </c>
      <c r="B37" s="42" t="inlineStr">
        <is>
          <t>Howard Grocery Company, Inc.</t>
        </is>
      </c>
      <c r="C37" s="42" t="inlineStr">
        <is>
          <t>Julian Howard</t>
        </is>
      </c>
      <c r="D37" s="43" t="inlineStr">
        <is>
          <t>Unknown</t>
        </is>
      </c>
      <c r="E37" s="44" t="n">
        <v>113</v>
      </c>
      <c r="F37" s="43" t="inlineStr">
        <is>
          <t>FL</t>
        </is>
      </c>
      <c r="G37" s="47" t="n">
        <v>60</v>
      </c>
      <c r="H37" s="43" t="inlineStr">
        <is>
          <t>Family Owned</t>
        </is>
      </c>
      <c r="I37" s="46" t="inlineStr">
        <is>
          <t>New</t>
        </is>
      </c>
      <c r="J37" s="42" t="inlineStr">
        <is>
          <t>113-year-old family-owned FL foodservice/paper distributor, ~$8M revenue, single location.</t>
        </is>
      </c>
      <c r="K37" s="43" t="n"/>
    </row>
    <row r="38">
      <c r="A38" s="41" t="n">
        <v>13</v>
      </c>
      <c r="B38" s="42" t="inlineStr">
        <is>
          <t>Carroll Distributing Company</t>
        </is>
      </c>
      <c r="C38" s="42" t="inlineStr">
        <is>
          <t>Chad Carroll</t>
        </is>
      </c>
      <c r="D38" s="43" t="inlineStr">
        <is>
          <t>Unknown</t>
        </is>
      </c>
      <c r="E38" s="44" t="n">
        <v>66</v>
      </c>
      <c r="F38" s="43" t="inlineStr">
        <is>
          <t>Florida</t>
        </is>
      </c>
      <c r="G38" s="47" t="n">
        <v>60</v>
      </c>
      <c r="H38" s="43" t="inlineStr">
        <is>
          <t>Family Owned</t>
        </is>
      </c>
      <c r="I38" s="46" t="inlineStr">
        <is>
          <t>New</t>
        </is>
      </c>
      <c r="J38" s="42" t="inlineStr">
        <is>
          <t>66-year-old family-run FL beer/wine/spirits distributor with multi-generational leadership and moderate seller readiness.</t>
        </is>
      </c>
      <c r="K38" s="43" t="n"/>
    </row>
    <row r="39">
      <c r="A39" s="41" t="n">
        <v>14</v>
      </c>
      <c r="B39" s="42" t="inlineStr">
        <is>
          <t>American Metal Products</t>
        </is>
      </c>
      <c r="C39" s="42" t="inlineStr">
        <is>
          <t>NaN</t>
        </is>
      </c>
      <c r="D39" s="43" t="inlineStr">
        <is>
          <t>Unknown</t>
        </is>
      </c>
      <c r="E39" s="44" t="n">
        <v>44</v>
      </c>
      <c r="F39" s="43" t="inlineStr">
        <is>
          <t>Florida</t>
        </is>
      </c>
      <c r="G39" s="47" t="n">
        <v>60</v>
      </c>
      <c r="H39" s="43" t="inlineStr">
        <is>
          <t>Family Owned</t>
        </is>
      </c>
      <c r="I39" s="46" t="inlineStr">
        <is>
          <t>New</t>
        </is>
      </c>
      <c r="J39" s="42" t="inlineStr">
        <is>
          <t>44-year-old family-owned Florida metal fabricator with multi-generational leadership; financials unconfirmed.</t>
        </is>
      </c>
      <c r="K39" s="43" t="n"/>
    </row>
    <row r="40">
      <c r="A40" s="41" t="n">
        <v>15</v>
      </c>
      <c r="B40" s="42" t="inlineStr">
        <is>
          <t>Executive Printers of Florida</t>
        </is>
      </c>
      <c r="C40" s="42" t="inlineStr">
        <is>
          <t>Stanley Gardner</t>
        </is>
      </c>
      <c r="D40" s="43" t="inlineStr">
        <is>
          <t>Unknown</t>
        </is>
      </c>
      <c r="E40" s="44" t="n">
        <v>54</v>
      </c>
      <c r="F40" s="43" t="inlineStr">
        <is>
          <t>Florida</t>
        </is>
      </c>
      <c r="G40" s="47" t="n">
        <v>60</v>
      </c>
      <c r="H40" s="43" t="inlineStr">
        <is>
          <t>Family Owned</t>
        </is>
      </c>
      <c r="I40" s="46" t="inlineStr">
        <is>
          <t>New</t>
        </is>
      </c>
      <c r="J40" s="42" t="inlineStr">
        <is>
          <t>Multi-generational family printing firm with succession signals, but financials remain unverified.</t>
        </is>
      </c>
      <c r="K40" s="43" t="n"/>
    </row>
    <row r="41">
      <c r="A41" s="41" t="n">
        <v>16</v>
      </c>
      <c r="B41" s="42" t="inlineStr">
        <is>
          <t>Woodruff &amp; Sons</t>
        </is>
      </c>
      <c r="C41" s="42" t="inlineStr">
        <is>
          <t>Roy Woodruff</t>
        </is>
      </c>
      <c r="D41" s="43" t="inlineStr">
        <is>
          <t>Unknown</t>
        </is>
      </c>
      <c r="E41" s="44" t="n">
        <v>80</v>
      </c>
      <c r="F41" s="43" t="inlineStr">
        <is>
          <t>Florida</t>
        </is>
      </c>
      <c r="G41" s="47" t="n">
        <v>60</v>
      </c>
      <c r="H41" s="43" t="inlineStr">
        <is>
          <t>Family Owned</t>
        </is>
      </c>
      <c r="I41" s="46" t="inlineStr">
        <is>
          <t>New</t>
        </is>
      </c>
      <c r="J41" s="42" t="inlineStr">
        <is>
          <t>80-year family-owned Florida heavy civil contractor with active licenses and multi-gen leadership.</t>
        </is>
      </c>
      <c r="K41" s="43" t="n"/>
    </row>
    <row r="42">
      <c r="A42" s="41" t="n">
        <v>17</v>
      </c>
      <c r="B42" s="42" t="inlineStr">
        <is>
          <t>Trans-Phos</t>
        </is>
      </c>
      <c r="C42" s="42" t="inlineStr">
        <is>
          <t>Sam Whitney</t>
        </is>
      </c>
      <c r="D42" s="43" t="inlineStr">
        <is>
          <t>Unknown</t>
        </is>
      </c>
      <c r="E42" s="44" t="n">
        <v>53</v>
      </c>
      <c r="F42" s="43" t="inlineStr">
        <is>
          <t>Florida</t>
        </is>
      </c>
      <c r="G42" s="47" t="n">
        <v>60</v>
      </c>
      <c r="H42" s="43" t="inlineStr">
        <is>
          <t>Family Owned</t>
        </is>
      </c>
      <c r="I42" s="46" t="inlineStr">
        <is>
          <t>New</t>
        </is>
      </c>
      <c r="J42" s="42" t="inlineStr">
        <is>
          <t>53-year-old family-owned Florida trucking firm with multi-gen leadership and moderate seller readiness.</t>
        </is>
      </c>
      <c r="K42" s="43" t="n"/>
    </row>
    <row r="43">
      <c r="A43" s="41" t="n">
        <v>18</v>
      </c>
      <c r="B43" s="42" t="inlineStr">
        <is>
          <t>Gandy Printers</t>
        </is>
      </c>
      <c r="C43" s="42" t="inlineStr">
        <is>
          <t>Bernie Gandy Jr.</t>
        </is>
      </c>
      <c r="D43" s="43" t="inlineStr">
        <is>
          <t>Unknown</t>
        </is>
      </c>
      <c r="E43" s="44" t="n">
        <v>56</v>
      </c>
      <c r="F43" s="43" t="inlineStr">
        <is>
          <t>Florida</t>
        </is>
      </c>
      <c r="G43" s="47" t="n">
        <v>60</v>
      </c>
      <c r="H43" s="43" t="inlineStr">
        <is>
          <t>Family Owned</t>
        </is>
      </c>
      <c r="I43" s="46" t="inlineStr">
        <is>
          <t>New</t>
        </is>
      </c>
      <c r="J43" s="42" t="inlineStr">
        <is>
          <t>56-year-old family-owned Florida print shop, now led by next-gen successor, shows moderate sale readiness.</t>
        </is>
      </c>
      <c r="K43" s="43" t="n"/>
    </row>
  </sheetData>
  <autoFilter ref="A25:K25"/>
  <mergeCells count="38">
    <mergeCell ref="C6:D6"/>
    <mergeCell ref="H15:I17"/>
    <mergeCell ref="H1:I1"/>
    <mergeCell ref="J16:K17"/>
    <mergeCell ref="E9:G9"/>
    <mergeCell ref="A6:B6"/>
    <mergeCell ref="E6:G6"/>
    <mergeCell ref="H9:I9"/>
    <mergeCell ref="J9:K9"/>
    <mergeCell ref="A2:F2"/>
    <mergeCell ref="J18:K19"/>
    <mergeCell ref="H6:I6"/>
    <mergeCell ref="A7:B7"/>
    <mergeCell ref="J6:K6"/>
    <mergeCell ref="J12:K13"/>
    <mergeCell ref="D4:F4"/>
    <mergeCell ref="H19:I22"/>
    <mergeCell ref="G4:I4"/>
    <mergeCell ref="C9:D9"/>
    <mergeCell ref="A4:C4"/>
    <mergeCell ref="E7:G7"/>
    <mergeCell ref="J14:K15"/>
    <mergeCell ref="J4:K4"/>
    <mergeCell ref="H2:I2"/>
    <mergeCell ref="J11:K11"/>
    <mergeCell ref="H11:I13"/>
    <mergeCell ref="J20:K22"/>
    <mergeCell ref="H7:I7"/>
    <mergeCell ref="J7:K7"/>
    <mergeCell ref="A8:B8"/>
    <mergeCell ref="C8:D8"/>
    <mergeCell ref="C7:D7"/>
    <mergeCell ref="J2:K2"/>
    <mergeCell ref="A1:F1"/>
    <mergeCell ref="E8:G8"/>
    <mergeCell ref="H8:I8"/>
    <mergeCell ref="A9:B9"/>
    <mergeCell ref="J8:K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9"/>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8" customWidth="1" min="3" max="3"/>
    <col width="14" customWidth="1" min="4" max="4"/>
    <col width="12" customWidth="1" min="5" max="5"/>
    <col width="14" customWidth="1" min="6" max="6"/>
    <col width="20" customWidth="1" min="7" max="7"/>
    <col width="12" customWidth="1" min="8" max="8"/>
    <col width="12" customWidth="1" min="9" max="9"/>
    <col width="14" customWidth="1" min="10" max="10"/>
    <col width="16" customWidth="1" min="11" max="11"/>
    <col width="14" customWidth="1" min="12" max="12"/>
    <col width="14" customWidth="1" min="13" max="13"/>
    <col width="14" customWidth="1" min="14" max="14"/>
  </cols>
  <sheetData>
    <row r="1">
      <c r="A1" s="48" t="inlineStr">
        <is>
          <t>Company Name</t>
        </is>
      </c>
      <c r="B1" s="48" t="inlineStr">
        <is>
          <t>State</t>
        </is>
      </c>
      <c r="C1" s="48" t="inlineStr">
        <is>
          <t>Industry</t>
        </is>
      </c>
      <c r="D1" s="48" t="inlineStr">
        <is>
          <t>Company Type</t>
        </is>
      </c>
      <c r="E1" s="48" t="inlineStr">
        <is>
          <t>Founded Year</t>
        </is>
      </c>
      <c r="F1" s="48" t="inlineStr">
        <is>
          <t>Years in Business</t>
        </is>
      </c>
      <c r="G1" s="48" t="inlineStr">
        <is>
          <t>Founder Name</t>
        </is>
      </c>
      <c r="H1" s="48" t="inlineStr">
        <is>
          <t>Founder Led</t>
        </is>
      </c>
      <c r="I1" s="48" t="inlineStr">
        <is>
          <t>Family Owned</t>
        </is>
      </c>
      <c r="J1" s="48" t="inlineStr">
        <is>
          <t>Founder Age Est.</t>
        </is>
      </c>
      <c r="K1" s="48" t="inlineStr">
        <is>
          <t>Seller Readiness Score</t>
        </is>
      </c>
      <c r="L1" s="48" t="inlineStr">
        <is>
          <t>Review Status</t>
        </is>
      </c>
      <c r="M1" s="48" t="inlineStr">
        <is>
          <t>First Seen</t>
        </is>
      </c>
      <c r="N1" s="48" t="inlineStr">
        <is>
          <t>Last Seen</t>
        </is>
      </c>
    </row>
    <row r="2">
      <c r="A2" s="49" t="inlineStr">
        <is>
          <t>Charles Clayton Construction</t>
        </is>
      </c>
      <c r="B2" s="49" t="inlineStr">
        <is>
          <t>FL</t>
        </is>
      </c>
      <c r="C2" s="49" t="inlineStr">
        <is>
          <t>Residential Construction / Custom Homebuilding</t>
        </is>
      </c>
      <c r="D2" s="49" t="inlineStr">
        <is>
          <t>Private</t>
        </is>
      </c>
      <c r="E2" s="49" t="inlineStr">
        <is>
          <t>1994</t>
        </is>
      </c>
      <c r="F2" s="49" t="n">
        <v>32</v>
      </c>
      <c r="G2" s="49" t="inlineStr">
        <is>
          <t>Charles "Charlie" Clayton III</t>
        </is>
      </c>
      <c r="H2" s="49" t="inlineStr">
        <is>
          <t>Yes</t>
        </is>
      </c>
      <c r="I2" s="49" t="inlineStr">
        <is>
          <t>Yes</t>
        </is>
      </c>
      <c r="J2" s="49" t="inlineStr">
        <is>
          <t>Approximately 59 years old as of a 2020 profile (would be approximately 65 in 2026)</t>
        </is>
      </c>
      <c r="K2" s="50" t="n">
        <v>105</v>
      </c>
      <c r="L2" s="49" t="inlineStr">
        <is>
          <t>New</t>
        </is>
      </c>
      <c r="M2" s="51" t="n">
        <v>46218</v>
      </c>
      <c r="N2" s="51" t="n">
        <v>46218</v>
      </c>
    </row>
    <row r="3">
      <c r="A3" s="49" t="inlineStr">
        <is>
          <t>Prime Line</t>
        </is>
      </c>
      <c r="B3" s="49" t="inlineStr">
        <is>
          <t>Florida</t>
        </is>
      </c>
      <c r="C3" s="49" t="inlineStr">
        <is>
          <t>Specialty Food Import &amp; Distribution (Wholesale Trade - Nondurable Goods)</t>
        </is>
      </c>
      <c r="D3" s="49" t="inlineStr">
        <is>
          <t>Private</t>
        </is>
      </c>
      <c r="E3" s="49" t="inlineStr">
        <is>
          <t>1981</t>
        </is>
      </c>
      <c r="F3" s="49" t="n">
        <v>45</v>
      </c>
      <c r="G3" s="49" t="inlineStr">
        <is>
          <t>Gianni Landi</t>
        </is>
      </c>
      <c r="H3" s="49" t="inlineStr">
        <is>
          <t>Yes</t>
        </is>
      </c>
      <c r="I3" s="49" t="inlineStr">
        <is>
          <t>Yes</t>
        </is>
      </c>
      <c r="J3" s="49" t="inlineStr">
        <is>
          <t>Unknown</t>
        </is>
      </c>
      <c r="K3" s="50" t="n">
        <v>100</v>
      </c>
      <c r="L3" s="49" t="inlineStr">
        <is>
          <t>New</t>
        </is>
      </c>
      <c r="M3" s="51" t="n">
        <v>46218</v>
      </c>
      <c r="N3" s="51" t="n">
        <v>46218</v>
      </c>
    </row>
    <row r="4">
      <c r="A4" s="49" t="inlineStr">
        <is>
          <t>Monterey Boats (Marine Industries of Florida)</t>
        </is>
      </c>
      <c r="B4" s="49" t="inlineStr">
        <is>
          <t>FL</t>
        </is>
      </c>
      <c r="C4" s="49" t="inlineStr">
        <is>
          <t>Marine / Boat Manufacturing</t>
        </is>
      </c>
      <c r="D4" s="49" t="inlineStr">
        <is>
          <t>Private</t>
        </is>
      </c>
      <c r="E4" s="49" t="inlineStr">
        <is>
          <t>1985</t>
        </is>
      </c>
      <c r="F4" s="49" t="n">
        <v>41</v>
      </c>
      <c r="G4" s="49" t="inlineStr">
        <is>
          <t>Charles Marshall and Jeff Marshall</t>
        </is>
      </c>
      <c r="H4" s="49" t="inlineStr">
        <is>
          <t>Yes</t>
        </is>
      </c>
      <c r="I4" s="49" t="inlineStr">
        <is>
          <t>Yes</t>
        </is>
      </c>
      <c r="J4" s="49" t="inlineStr">
        <is>
          <t>Unknown</t>
        </is>
      </c>
      <c r="K4" s="50" t="n">
        <v>100</v>
      </c>
      <c r="L4" s="49" t="inlineStr">
        <is>
          <t>New</t>
        </is>
      </c>
      <c r="M4" s="51" t="n">
        <v>46218</v>
      </c>
      <c r="N4" s="51" t="n">
        <v>46218</v>
      </c>
    </row>
    <row r="5">
      <c r="A5" s="49" t="inlineStr">
        <is>
          <t>Cleveland Bass and Movers</t>
        </is>
      </c>
      <c r="B5" s="49" t="inlineStr">
        <is>
          <t>FL</t>
        </is>
      </c>
      <c r="C5" s="49" t="inlineStr">
        <is>
          <t>Moving &amp; Storage Services</t>
        </is>
      </c>
      <c r="D5" s="49" t="inlineStr">
        <is>
          <t>Private</t>
        </is>
      </c>
      <c r="E5" s="49" t="inlineStr">
        <is>
          <t>1969</t>
        </is>
      </c>
      <c r="F5" s="49" t="n">
        <v>57</v>
      </c>
      <c r="G5" s="49" t="inlineStr">
        <is>
          <t>Cleveland Bass</t>
        </is>
      </c>
      <c r="H5" s="49" t="inlineStr">
        <is>
          <t>No</t>
        </is>
      </c>
      <c r="I5" s="49" t="inlineStr">
        <is>
          <t>Yes</t>
        </is>
      </c>
      <c r="J5" s="49" t="inlineStr">
        <is>
          <t>Unknown</t>
        </is>
      </c>
      <c r="K5" s="50" t="n">
        <v>75</v>
      </c>
      <c r="L5" s="49" t="inlineStr">
        <is>
          <t>New</t>
        </is>
      </c>
      <c r="M5" s="51" t="n">
        <v>46218</v>
      </c>
      <c r="N5" s="51" t="n">
        <v>46218</v>
      </c>
    </row>
    <row r="6">
      <c r="A6" s="49" t="inlineStr">
        <is>
          <t>Roberson Funeral Home &amp; Crematory</t>
        </is>
      </c>
      <c r="B6" s="49" t="inlineStr">
        <is>
          <t>FL</t>
        </is>
      </c>
      <c r="C6" s="49" t="inlineStr">
        <is>
          <t>Funeral Services / Death Care</t>
        </is>
      </c>
      <c r="D6" s="49" t="inlineStr">
        <is>
          <t>Private</t>
        </is>
      </c>
      <c r="E6" s="49" t="inlineStr">
        <is>
          <t>1976</t>
        </is>
      </c>
      <c r="F6" s="49" t="n">
        <v>50</v>
      </c>
      <c r="G6" s="49" t="inlineStr">
        <is>
          <t>Kenneth L. Roberson</t>
        </is>
      </c>
      <c r="H6" s="49" t="inlineStr">
        <is>
          <t>Yes</t>
        </is>
      </c>
      <c r="I6" s="49" t="inlineStr">
        <is>
          <t>Yes</t>
        </is>
      </c>
      <c r="J6" s="49" t="inlineStr">
        <is>
          <t>Unknown</t>
        </is>
      </c>
      <c r="K6" s="50" t="n">
        <v>75</v>
      </c>
      <c r="L6" s="49" t="inlineStr">
        <is>
          <t>New</t>
        </is>
      </c>
      <c r="M6" s="51" t="n">
        <v>46218</v>
      </c>
      <c r="N6" s="51" t="n">
        <v>46218</v>
      </c>
    </row>
    <row r="7">
      <c r="A7" s="49" t="inlineStr">
        <is>
          <t>Metro Steel USA</t>
        </is>
      </c>
      <c r="B7" s="49" t="inlineStr">
        <is>
          <t>Florida</t>
        </is>
      </c>
      <c r="C7" s="49" t="inlineStr">
        <is>
          <t>Metal Fabrication &amp; Steel Distribution (Fabricated Metal Products)</t>
        </is>
      </c>
      <c r="D7" s="49" t="inlineStr">
        <is>
          <t>Private</t>
        </is>
      </c>
      <c r="E7" s="49" t="inlineStr">
        <is>
          <t>1974</t>
        </is>
      </c>
      <c r="F7" s="49" t="n">
        <v>52</v>
      </c>
      <c r="G7" s="49" t="inlineStr">
        <is>
          <t>Charles "Chuck" Shepherd</t>
        </is>
      </c>
      <c r="H7" s="49" t="inlineStr">
        <is>
          <t>No</t>
        </is>
      </c>
      <c r="I7" s="49" t="inlineStr">
        <is>
          <t>Yes</t>
        </is>
      </c>
      <c r="J7" s="49" t="inlineStr">
        <is>
          <t>Unknown</t>
        </is>
      </c>
      <c r="K7" s="50" t="n">
        <v>75</v>
      </c>
      <c r="L7" s="49" t="inlineStr">
        <is>
          <t>New</t>
        </is>
      </c>
      <c r="M7" s="51" t="n">
        <v>46218</v>
      </c>
      <c r="N7" s="51" t="n">
        <v>46218</v>
      </c>
    </row>
    <row r="8">
      <c r="A8" s="49" t="inlineStr">
        <is>
          <t>All Florida Mechanical Services</t>
        </is>
      </c>
      <c r="B8" s="49" t="inlineStr">
        <is>
          <t>Florida</t>
        </is>
      </c>
      <c r="C8" s="49" t="inlineStr">
        <is>
          <t>HVAC / Mechanical Contracting (Construction – Special Trade Contractors)</t>
        </is>
      </c>
      <c r="D8" s="49" t="inlineStr">
        <is>
          <t>Private</t>
        </is>
      </c>
      <c r="E8" s="49" t="inlineStr">
        <is>
          <t>1982</t>
        </is>
      </c>
      <c r="F8" s="49" t="n">
        <v>44</v>
      </c>
      <c r="G8" s="49" t="inlineStr">
        <is>
          <t>Unknown</t>
        </is>
      </c>
      <c r="H8" s="49" t="inlineStr">
        <is>
          <t>No</t>
        </is>
      </c>
      <c r="I8" s="49" t="inlineStr">
        <is>
          <t>Yes</t>
        </is>
      </c>
      <c r="J8" s="49" t="inlineStr">
        <is>
          <t>Unknown</t>
        </is>
      </c>
      <c r="K8" s="50" t="n">
        <v>70</v>
      </c>
      <c r="L8" s="49" t="inlineStr">
        <is>
          <t>New</t>
        </is>
      </c>
      <c r="M8" s="51" t="n">
        <v>46218</v>
      </c>
      <c r="N8" s="51" t="n">
        <v>46218</v>
      </c>
    </row>
    <row r="9">
      <c r="A9" s="49" t="inlineStr">
        <is>
          <t>Great Bay Distributors</t>
        </is>
      </c>
      <c r="B9" s="49" t="inlineStr">
        <is>
          <t>Florida</t>
        </is>
      </c>
      <c r="C9" s="49" t="inlineStr">
        <is>
          <t>Beverage Wholesale Distribution (Beer, Wine &amp; Spirits)</t>
        </is>
      </c>
      <c r="D9" s="49" t="inlineStr">
        <is>
          <t>Private</t>
        </is>
      </c>
      <c r="E9" s="49" t="inlineStr">
        <is>
          <t>1968</t>
        </is>
      </c>
      <c r="F9" s="49" t="n">
        <v>58</v>
      </c>
      <c r="G9" s="49" t="inlineStr">
        <is>
          <t>Claude and Nina Focardi</t>
        </is>
      </c>
      <c r="H9" s="49" t="inlineStr">
        <is>
          <t>No</t>
        </is>
      </c>
      <c r="I9" s="49" t="inlineStr">
        <is>
          <t>Yes</t>
        </is>
      </c>
      <c r="J9" s="49" t="inlineStr">
        <is>
          <t>Unknown</t>
        </is>
      </c>
      <c r="K9" s="52" t="n">
        <v>60</v>
      </c>
      <c r="L9" s="49" t="inlineStr">
        <is>
          <t>New</t>
        </is>
      </c>
      <c r="M9" s="51" t="n">
        <v>46218</v>
      </c>
      <c r="N9" s="51" t="n">
        <v>46218</v>
      </c>
    </row>
    <row r="10">
      <c r="A10" s="49" t="inlineStr">
        <is>
          <t>E.O. Painter Printing Co.</t>
        </is>
      </c>
      <c r="B10" s="49" t="inlineStr">
        <is>
          <t>FL</t>
        </is>
      </c>
      <c r="C10" s="49" t="inlineStr">
        <is>
          <t>Commercial Printing / Book Manufacturing</t>
        </is>
      </c>
      <c r="D10" s="49" t="inlineStr">
        <is>
          <t>Private</t>
        </is>
      </c>
      <c r="E10" s="49" t="inlineStr">
        <is>
          <t>1878</t>
        </is>
      </c>
      <c r="F10" s="49" t="n">
        <v>148</v>
      </c>
      <c r="G10" s="49" t="inlineStr">
        <is>
          <t>E.O. Painter</t>
        </is>
      </c>
      <c r="H10" s="49" t="inlineStr">
        <is>
          <t>No</t>
        </is>
      </c>
      <c r="I10" s="49" t="inlineStr">
        <is>
          <t>Yes</t>
        </is>
      </c>
      <c r="J10" s="49" t="inlineStr">
        <is>
          <t>Unknown</t>
        </is>
      </c>
      <c r="K10" s="52" t="n">
        <v>60</v>
      </c>
      <c r="L10" s="49" t="inlineStr">
        <is>
          <t>New</t>
        </is>
      </c>
      <c r="M10" s="51" t="n">
        <v>46218</v>
      </c>
      <c r="N10" s="51" t="n">
        <v>46218</v>
      </c>
    </row>
    <row r="11">
      <c r="A11" s="49" t="inlineStr">
        <is>
          <t>Needham Enterprises</t>
        </is>
      </c>
      <c r="B11" s="49" t="inlineStr">
        <is>
          <t>FL</t>
        </is>
      </c>
      <c r="C11" s="49" t="inlineStr">
        <is>
          <t>Plumbing &amp; Electrical Contracting Services</t>
        </is>
      </c>
      <c r="D11" s="49" t="inlineStr">
        <is>
          <t>Private</t>
        </is>
      </c>
      <c r="E11" s="49" t="inlineStr">
        <is>
          <t>1983</t>
        </is>
      </c>
      <c r="F11" s="49" t="n">
        <v>43</v>
      </c>
      <c r="G11" s="49" t="inlineStr">
        <is>
          <t>Unknown</t>
        </is>
      </c>
      <c r="H11" s="49" t="inlineStr">
        <is>
          <t>Unknown</t>
        </is>
      </c>
      <c r="I11" s="49" t="inlineStr">
        <is>
          <t>Yes</t>
        </is>
      </c>
      <c r="J11" s="49" t="inlineStr">
        <is>
          <t>Unknown</t>
        </is>
      </c>
      <c r="K11" s="52" t="n">
        <v>60</v>
      </c>
      <c r="L11" s="49" t="inlineStr">
        <is>
          <t>New</t>
        </is>
      </c>
      <c r="M11" s="51" t="n">
        <v>46218</v>
      </c>
      <c r="N11" s="51" t="n">
        <v>46218</v>
      </c>
    </row>
    <row r="12">
      <c r="A12" s="49" t="inlineStr">
        <is>
          <t>Martinez Distributors Inc.</t>
        </is>
      </c>
      <c r="B12" s="49" t="inlineStr">
        <is>
          <t>FL</t>
        </is>
      </c>
      <c r="C12" s="49" t="inlineStr">
        <is>
          <t>Food Distribution / Wholesale Grocery &amp; Meat Distribution</t>
        </is>
      </c>
      <c r="D12" s="49" t="inlineStr">
        <is>
          <t>Private</t>
        </is>
      </c>
      <c r="E12" s="49" t="inlineStr">
        <is>
          <t>1997</t>
        </is>
      </c>
      <c r="F12" s="49" t="n">
        <v>29</v>
      </c>
      <c r="G12" s="49" t="inlineStr">
        <is>
          <t>Fabian J. Martinez</t>
        </is>
      </c>
      <c r="H12" s="49" t="inlineStr">
        <is>
          <t>Yes</t>
        </is>
      </c>
      <c r="I12" s="49" t="inlineStr">
        <is>
          <t>Yes</t>
        </is>
      </c>
      <c r="J12" s="49" t="inlineStr">
        <is>
          <t>Unknown</t>
        </is>
      </c>
      <c r="K12" s="52" t="n">
        <v>60</v>
      </c>
      <c r="L12" s="49" t="inlineStr">
        <is>
          <t>New</t>
        </is>
      </c>
      <c r="M12" s="51" t="n">
        <v>46218</v>
      </c>
      <c r="N12" s="51" t="n">
        <v>46218</v>
      </c>
    </row>
    <row r="13">
      <c r="A13" s="49" t="inlineStr">
        <is>
          <t>Howard Grocery Company, Inc.</t>
        </is>
      </c>
      <c r="B13" s="49" t="inlineStr">
        <is>
          <t>FL</t>
        </is>
      </c>
      <c r="C13" s="49" t="inlineStr">
        <is>
          <t>Foodservice/Paper &amp; Janitorial Supply Wholesale Distribution</t>
        </is>
      </c>
      <c r="D13" s="49" t="inlineStr">
        <is>
          <t>Private</t>
        </is>
      </c>
      <c r="E13" s="49" t="inlineStr">
        <is>
          <t>1912</t>
        </is>
      </c>
      <c r="F13" s="49" t="n">
        <v>113</v>
      </c>
      <c r="G13" s="49" t="inlineStr">
        <is>
          <t>Julian Howard</t>
        </is>
      </c>
      <c r="H13" s="49" t="inlineStr">
        <is>
          <t>No</t>
        </is>
      </c>
      <c r="I13" s="49" t="inlineStr">
        <is>
          <t>Yes</t>
        </is>
      </c>
      <c r="J13" s="49" t="inlineStr">
        <is>
          <t>Unknown</t>
        </is>
      </c>
      <c r="K13" s="52" t="n">
        <v>60</v>
      </c>
      <c r="L13" s="49" t="inlineStr">
        <is>
          <t>New</t>
        </is>
      </c>
      <c r="M13" s="51" t="n">
        <v>46218</v>
      </c>
      <c r="N13" s="51" t="n">
        <v>46218</v>
      </c>
    </row>
    <row r="14">
      <c r="A14" s="49" t="inlineStr">
        <is>
          <t>Carroll Distributing Company</t>
        </is>
      </c>
      <c r="B14" s="49" t="inlineStr">
        <is>
          <t>Florida</t>
        </is>
      </c>
      <c r="C14" s="49" t="inlineStr">
        <is>
          <t>Beverage Distribution (Beer, Wine &amp; Spirits Wholesale)</t>
        </is>
      </c>
      <c r="D14" s="49" t="inlineStr">
        <is>
          <t>Private</t>
        </is>
      </c>
      <c r="E14" s="49" t="inlineStr">
        <is>
          <t>1960</t>
        </is>
      </c>
      <c r="F14" s="49" t="n">
        <v>66</v>
      </c>
      <c r="G14" s="49" t="inlineStr">
        <is>
          <t>Chad Carroll</t>
        </is>
      </c>
      <c r="H14" s="49" t="inlineStr">
        <is>
          <t>No</t>
        </is>
      </c>
      <c r="I14" s="49" t="inlineStr">
        <is>
          <t>Yes</t>
        </is>
      </c>
      <c r="J14" s="49" t="inlineStr">
        <is>
          <t>Unknown</t>
        </is>
      </c>
      <c r="K14" s="52" t="n">
        <v>60</v>
      </c>
      <c r="L14" s="49" t="inlineStr">
        <is>
          <t>New</t>
        </is>
      </c>
      <c r="M14" s="51" t="n">
        <v>46218</v>
      </c>
      <c r="N14" s="51" t="n">
        <v>46218</v>
      </c>
    </row>
    <row r="15">
      <c r="A15" s="49" t="inlineStr">
        <is>
          <t>American Metal Products</t>
        </is>
      </c>
      <c r="B15" s="49" t="inlineStr">
        <is>
          <t>Florida</t>
        </is>
      </c>
      <c r="C15" s="49" t="inlineStr">
        <is>
          <t>Metal Fabrication / Fabricated Metal Products Manufacturing</t>
        </is>
      </c>
      <c r="D15" s="49" t="inlineStr">
        <is>
          <t>Private</t>
        </is>
      </c>
      <c r="E15" s="49" t="inlineStr">
        <is>
          <t>1982</t>
        </is>
      </c>
      <c r="F15" s="49" t="n">
        <v>44</v>
      </c>
      <c r="G15" s="49" t="inlineStr">
        <is>
          <t>NaN</t>
        </is>
      </c>
      <c r="H15" s="49" t="inlineStr">
        <is>
          <t>Unknown</t>
        </is>
      </c>
      <c r="I15" s="49" t="inlineStr">
        <is>
          <t>Yes</t>
        </is>
      </c>
      <c r="J15" s="49" t="inlineStr">
        <is>
          <t>Unknown</t>
        </is>
      </c>
      <c r="K15" s="52" t="n">
        <v>60</v>
      </c>
      <c r="L15" s="49" t="inlineStr">
        <is>
          <t>New</t>
        </is>
      </c>
      <c r="M15" s="51" t="n">
        <v>46218</v>
      </c>
      <c r="N15" s="51" t="n">
        <v>46218</v>
      </c>
    </row>
    <row r="16">
      <c r="A16" s="49" t="inlineStr">
        <is>
          <t>Executive Printers of Florida</t>
        </is>
      </c>
      <c r="B16" s="49" t="inlineStr">
        <is>
          <t>Florida</t>
        </is>
      </c>
      <c r="C16" s="49" t="inlineStr">
        <is>
          <t>Commercial Printing Services</t>
        </is>
      </c>
      <c r="D16" s="49" t="inlineStr">
        <is>
          <t>Private</t>
        </is>
      </c>
      <c r="E16" s="49" t="inlineStr">
        <is>
          <t>1972</t>
        </is>
      </c>
      <c r="F16" s="49" t="n">
        <v>54</v>
      </c>
      <c r="G16" s="49" t="inlineStr">
        <is>
          <t>Stanley Gardner</t>
        </is>
      </c>
      <c r="H16" s="49" t="inlineStr">
        <is>
          <t>No</t>
        </is>
      </c>
      <c r="I16" s="49" t="inlineStr">
        <is>
          <t>Yes</t>
        </is>
      </c>
      <c r="J16" s="49" t="inlineStr">
        <is>
          <t>Unknown</t>
        </is>
      </c>
      <c r="K16" s="52" t="n">
        <v>60</v>
      </c>
      <c r="L16" s="49" t="inlineStr">
        <is>
          <t>New</t>
        </is>
      </c>
      <c r="M16" s="51" t="n">
        <v>46218</v>
      </c>
      <c r="N16" s="51" t="n">
        <v>46218</v>
      </c>
    </row>
    <row r="17">
      <c r="A17" s="49" t="inlineStr">
        <is>
          <t>Woodruff &amp; Sons</t>
        </is>
      </c>
      <c r="B17" s="49" t="inlineStr">
        <is>
          <t>Florida</t>
        </is>
      </c>
      <c r="C17" s="49" t="inlineStr">
        <is>
          <t>Construction (Heavy Civil / Underground Utility &amp; Roadway Construction)</t>
        </is>
      </c>
      <c r="D17" s="49" t="inlineStr">
        <is>
          <t>Private</t>
        </is>
      </c>
      <c r="E17" s="49" t="inlineStr">
        <is>
          <t>1946</t>
        </is>
      </c>
      <c r="F17" s="49" t="n">
        <v>80</v>
      </c>
      <c r="G17" s="49" t="inlineStr">
        <is>
          <t>Roy Woodruff</t>
        </is>
      </c>
      <c r="H17" s="49" t="inlineStr">
        <is>
          <t>No</t>
        </is>
      </c>
      <c r="I17" s="49" t="inlineStr">
        <is>
          <t>Yes</t>
        </is>
      </c>
      <c r="J17" s="49" t="inlineStr">
        <is>
          <t>Unknown</t>
        </is>
      </c>
      <c r="K17" s="52" t="n">
        <v>60</v>
      </c>
      <c r="L17" s="49" t="inlineStr">
        <is>
          <t>New</t>
        </is>
      </c>
      <c r="M17" s="51" t="n">
        <v>46218</v>
      </c>
      <c r="N17" s="51" t="n">
        <v>46218</v>
      </c>
    </row>
    <row r="18">
      <c r="A18" s="49" t="inlineStr">
        <is>
          <t>Trans-Phos</t>
        </is>
      </c>
      <c r="B18" s="49" t="inlineStr">
        <is>
          <t>Florida</t>
        </is>
      </c>
      <c r="C18" s="49" t="inlineStr">
        <is>
          <t>Trucking / Bulk Transportation (General Freight Trucking; phosphate rock, aggregate, and construction materials hauling)</t>
        </is>
      </c>
      <c r="D18" s="49" t="inlineStr">
        <is>
          <t>Private</t>
        </is>
      </c>
      <c r="E18" s="49" t="inlineStr">
        <is>
          <t>1973</t>
        </is>
      </c>
      <c r="F18" s="49" t="n">
        <v>53</v>
      </c>
      <c r="G18" s="49" t="inlineStr">
        <is>
          <t>Sam Whitney</t>
        </is>
      </c>
      <c r="H18" s="49" t="inlineStr">
        <is>
          <t>No</t>
        </is>
      </c>
      <c r="I18" s="49" t="inlineStr">
        <is>
          <t>Yes</t>
        </is>
      </c>
      <c r="J18" s="49" t="inlineStr">
        <is>
          <t>Unknown</t>
        </is>
      </c>
      <c r="K18" s="52" t="n">
        <v>60</v>
      </c>
      <c r="L18" s="49" t="inlineStr">
        <is>
          <t>New</t>
        </is>
      </c>
      <c r="M18" s="51" t="n">
        <v>46218</v>
      </c>
      <c r="N18" s="51" t="n">
        <v>46218</v>
      </c>
    </row>
    <row r="19">
      <c r="A19" s="49" t="inlineStr">
        <is>
          <t>Gandy Printers</t>
        </is>
      </c>
      <c r="B19" s="49" t="inlineStr">
        <is>
          <t>Florida</t>
        </is>
      </c>
      <c r="C19" s="49" t="inlineStr">
        <is>
          <t>Commercial Printing Services</t>
        </is>
      </c>
      <c r="D19" s="49" t="inlineStr">
        <is>
          <t>Private</t>
        </is>
      </c>
      <c r="E19" s="49" t="inlineStr">
        <is>
          <t>1970</t>
        </is>
      </c>
      <c r="F19" s="49" t="n">
        <v>56</v>
      </c>
      <c r="G19" s="49" t="inlineStr">
        <is>
          <t>Bernie Gandy Jr.</t>
        </is>
      </c>
      <c r="H19" s="49" t="inlineStr">
        <is>
          <t>No</t>
        </is>
      </c>
      <c r="I19" s="49" t="inlineStr">
        <is>
          <t>Yes</t>
        </is>
      </c>
      <c r="J19" s="49" t="inlineStr">
        <is>
          <t>Unknown</t>
        </is>
      </c>
      <c r="K19" s="52" t="n">
        <v>60</v>
      </c>
      <c r="L19" s="49" t="inlineStr">
        <is>
          <t>New</t>
        </is>
      </c>
      <c r="M19" s="51" t="n">
        <v>46218</v>
      </c>
      <c r="N19" s="51" t="n">
        <v>46218</v>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0" customWidth="1" min="3" max="3"/>
    <col width="10" customWidth="1" min="4" max="4"/>
    <col width="55" customWidth="1" min="5" max="5"/>
    <col width="55" customWidth="1" min="6" max="6"/>
    <col width="45" customWidth="1" min="7" max="7"/>
    <col width="14" customWidth="1" min="8" max="8"/>
    <col width="35" customWidth="1" min="9" max="9"/>
    <col hidden="1" min="10" max="10"/>
  </cols>
  <sheetData>
    <row r="1">
      <c r="A1" s="48" t="inlineStr">
        <is>
          <t>Rank</t>
        </is>
      </c>
      <c r="B1" s="48" t="inlineStr">
        <is>
          <t>Company Name</t>
        </is>
      </c>
      <c r="C1" s="48" t="inlineStr">
        <is>
          <t>Score</t>
        </is>
      </c>
      <c r="D1" s="48" t="inlineStr">
        <is>
          <t>State</t>
        </is>
      </c>
      <c r="E1" s="48" t="inlineStr">
        <is>
          <t>Why Selected</t>
        </is>
      </c>
      <c r="F1" s="48" t="inlineStr">
        <is>
          <t>Evidence Summary</t>
        </is>
      </c>
      <c r="G1" s="48" t="inlineStr">
        <is>
          <t>One-line Reason</t>
        </is>
      </c>
      <c r="H1" s="48" t="inlineStr">
        <is>
          <t>Feedback</t>
        </is>
      </c>
      <c r="I1" s="48" t="inlineStr">
        <is>
          <t>Notes</t>
        </is>
      </c>
      <c r="J1" s="48" t="inlineStr">
        <is>
          <t>_candidate_id</t>
        </is>
      </c>
    </row>
    <row r="2" ht="90" customHeight="1">
      <c r="A2" s="53" t="n">
        <v>1</v>
      </c>
      <c r="B2" s="54" t="inlineStr">
        <is>
          <t>Charles Clayton Construction</t>
        </is>
      </c>
      <c r="C2" s="55" t="n">
        <v>105</v>
      </c>
      <c r="D2" s="54" t="inlineStr">
        <is>
          <t>FL</t>
        </is>
      </c>
      <c r="E2" s="54" t="inlineStr">
        <is>
          <t>Charles Clayton Construction is a founder-led, family-owned custom homebuilder with 32 years in business, positioning it as a mature operation with an established reputation in Central Florida and coastal Volusia County. Founder Charlie Clayton III is approximately 65 years old as of 2026, suggesting potential succession or retirement considerations may be approaching. The company's high seller readiness score (105) further supports its candidacy as an acquisition target.</t>
        </is>
      </c>
      <c r="F2" s="54" t="inlineStr">
        <is>
          <t>BBB confirms the business was incorporated in 1994 with 32 years in business, led by Charles Clayton (President) and Lisa Clayton (VP), while a 2020 profile notes Clayton was 59 at the time and comes from a multi-generational family building tradition dating to the 1950s. The company operates from two Florida offices and builds custom homes ranging from $850,000 to $10 million.</t>
        </is>
      </c>
      <c r="G2" s="54" t="inlineStr">
        <is>
          <t>Founder-led Florida custom homebuilder, ~32 years in business, founder nearing retirement age.</t>
        </is>
      </c>
      <c r="H2" s="54" t="inlineStr">
        <is>
          <t>New</t>
        </is>
      </c>
      <c r="I2" s="54" t="inlineStr"/>
      <c r="J2" s="54" t="n">
        <v>3</v>
      </c>
    </row>
    <row r="3" ht="90" customHeight="1">
      <c r="A3" s="53" t="n">
        <v>2</v>
      </c>
      <c r="B3" s="54" t="inlineStr">
        <is>
          <t>Prime Line</t>
        </is>
      </c>
      <c r="C3" s="55" t="n">
        <v>100</v>
      </c>
      <c r="D3" s="54" t="inlineStr">
        <is>
          <t>Florida</t>
        </is>
      </c>
      <c r="E3" s="54" t="inlineStr">
        <is>
          <t>Prime Line is a 45-year-old founder-led, family-owned specialty food import and distribution business with an estimated $45.1 million in annual revenue and ~122 employees across multiple U.S. divisions, indicating meaningful scale for a wholesale trade acquisition. Its perfect Seller Readiness Score of 100 and long operating history suggest a mature, stable business that may be positioned for a succession-driven sale, though founder age is unknown and cannot be used to confirm succession timing.</t>
        </is>
      </c>
      <c r="F3" s="54" t="inlineStr">
        <is>
          <t>Florida Sunbiz confirms Prime Line Distributors, Inc. as an active corporation since 1981 with Gianni Landi as President and family members Irene and Dennis Landi in key roles, and the company website confirms continued family leadership with a catalog of over 3,500 specialty food products; revenue and employee figures come from a third-party estimate (Buzzfile) and are not independently verified.</t>
        </is>
      </c>
      <c r="G3" s="54" t="inlineStr">
        <is>
          <t>45-year-old family-owned Florida specialty food distributor with $45M+ estimated revenue and top readiness score.</t>
        </is>
      </c>
      <c r="H3" s="54" t="inlineStr">
        <is>
          <t>New</t>
        </is>
      </c>
      <c r="I3" s="54" t="inlineStr"/>
      <c r="J3" s="54" t="n">
        <v>8</v>
      </c>
    </row>
    <row r="4" ht="90" customHeight="1">
      <c r="A4" s="53" t="n">
        <v>3</v>
      </c>
      <c r="B4" s="54" t="inlineStr">
        <is>
          <t>Monterey Boats (Marine Industries of Florida)</t>
        </is>
      </c>
      <c r="C4" s="55" t="n">
        <v>100</v>
      </c>
      <c r="D4" s="54" t="inlineStr">
        <is>
          <t>FL</t>
        </is>
      </c>
      <c r="E4" s="54" t="inlineStr">
        <is>
          <t>Monterey Boats is a 41-year-old, founder-led and family-owned marine manufacturer with a top Seller Readiness Score of 100, suggesting strong succession or exit potential typical of long-tenured founder businesses. Its scale—over 600 employees, 500,000 sq ft of manufacturing space, and an estimated $83M in annual revenue—indicates a substantial, established operation attractive to acquirers. The founders' ages are unknown, but the company's longevity and continued founder involvement since 1985 suggest a potential generational transition point.</t>
        </is>
      </c>
      <c r="F4" s="54" t="inlineStr">
        <is>
          <t>Evidence shows Monterey Boats was founded in 1985 by brothers Charles and Jeff Marshall, who remain Co-Chairmen, and the company is described as one of the few marine manufacturers still family-owned and run by original founders; Kona Equity estimates $83M in annual revenue and 500 employees, with the company citing over 600 builders and 40,000+ boats produced generating $2.4B in sales.</t>
        </is>
      </c>
      <c r="G4" s="54" t="inlineStr">
        <is>
          <t>41-year-old founder-led, family-owned boat maker with $83M revenue and top seller-readiness score.</t>
        </is>
      </c>
      <c r="H4" s="54" t="inlineStr">
        <is>
          <t>New</t>
        </is>
      </c>
      <c r="I4" s="54" t="inlineStr"/>
      <c r="J4" s="54" t="n">
        <v>2</v>
      </c>
    </row>
    <row r="5" ht="90" customHeight="1">
      <c r="A5" s="53" t="n">
        <v>4</v>
      </c>
      <c r="B5" s="54" t="inlineStr">
        <is>
          <t>Cleveland Bass and Movers</t>
        </is>
      </c>
      <c r="C5" s="55" t="n">
        <v>75</v>
      </c>
      <c r="D5" s="54" t="inlineStr">
        <is>
          <t>FL</t>
        </is>
      </c>
      <c r="E5" s="54" t="inlineStr">
        <is>
          <t>Cleveland Bass and Movers is a 57-year-old, family-owned moving and storage business in Naples, FL, with a strong regional legacy as the oldest Black-owned business in Southwest Florida. Its long operating history, licensed status (FDACS moving license IM3052), and a Seller Readiness Score of 75 suggest a stable, established operation that may be open to a transition. However, founder age and current succession plans beyond the family are unknown, leaving some uncertainty about timing motivations.</t>
        </is>
      </c>
      <c r="F5" s="54" t="inlineStr">
        <is>
          <t>Multiple sources (company website, Yelp, WINK News, BBB) confirm continuous operation since 1969 under family leadership, now run by Tim Stready with Quintina Stready as manager, and licensed under FDACS IM3052; no direct evidence of sale intent or financials is provided.</t>
        </is>
      </c>
      <c r="G5" s="54" t="inlineStr">
        <is>
          <t>57-year-old family-owned FL mover, licensed and rooted in legacy, scores 75 on seller readiness.</t>
        </is>
      </c>
      <c r="H5" s="54" t="inlineStr">
        <is>
          <t>New</t>
        </is>
      </c>
      <c r="I5" s="54" t="inlineStr"/>
      <c r="J5" s="54" t="n">
        <v>17</v>
      </c>
    </row>
    <row r="6" ht="90" customHeight="1">
      <c r="A6" s="53" t="n">
        <v>5</v>
      </c>
      <c r="B6" s="54" t="inlineStr">
        <is>
          <t>Roberson Funeral Home &amp; Crematory</t>
        </is>
      </c>
      <c r="C6" s="55" t="n">
        <v>75</v>
      </c>
      <c r="D6" s="54" t="inlineStr">
        <is>
          <t>FL</t>
        </is>
      </c>
      <c r="E6" s="54" t="inlineStr">
        <is>
          <t>Roberson Funeral Home &amp; Crematory is a 50-year-old, founder-led, family-owned death care business in Charlotte County, FL, with a high Seller Readiness Score of 75, suggesting the owners may be open to a transition. Second-generation involvement (James Clay Roberson since 1992) combined with an aging founder-era leadership structure (though exact founder age is Unknown) points to a natural succession or exit window typical of acquisition targets in this industry.</t>
        </is>
      </c>
      <c r="F6" s="54" t="inlineStr">
        <is>
          <t>Sunbiz records confirm the corporation was filed in 1976 and remains active, with Kenneth L. Roberson listed as an officer and James Clay Roberson as VP/Secretary, consistent with company and BBB/IFDF descriptions of a two-generation family operation that expanded via a preneed division (1978), on-site crematory, RestLawn affiliation (1986), and a second Punta Gorda location (1991); founder age and explicit succession/exit plans are not stated in the available data.</t>
        </is>
      </c>
      <c r="G6" s="54" t="inlineStr">
        <is>
          <t>50-year-old family-run FL funeral home with second-gen leadership and high seller-readiness score.</t>
        </is>
      </c>
      <c r="H6" s="54" t="inlineStr">
        <is>
          <t>New</t>
        </is>
      </c>
      <c r="I6" s="54" t="inlineStr"/>
      <c r="J6" s="54" t="n">
        <v>16</v>
      </c>
    </row>
    <row r="7" ht="90" customHeight="1">
      <c r="A7" s="53" t="n">
        <v>6</v>
      </c>
      <c r="B7" s="54" t="inlineStr">
        <is>
          <t>Metro Steel USA</t>
        </is>
      </c>
      <c r="C7" s="55" t="n">
        <v>75</v>
      </c>
      <c r="D7" s="54" t="inlineStr">
        <is>
          <t>Florida</t>
        </is>
      </c>
      <c r="E7" s="54" t="inlineStr">
        <is>
          <t>Metro Steel USA is a third-generation, family-owned metal fabrication and steel distribution business with 52 years of operating history and a high Seller Readiness Score (75), suggesting the owners may be open to a transition. Its established facility, industry certifications, and diversified OEM client base across aerospace, transportation, rail, agriculture, and construction sectors indicate a stable, credible operation that could be attractive for consolidation or strategic acquisition.</t>
        </is>
      </c>
      <c r="F7" s="54" t="inlineStr">
        <is>
          <t>The company grew from a 1974 founding with a 35,000 sq ft facility into a 200,000 sq ft processing and distribution center, holds AS 9100 D / ISO 9001:2015 certification and AISC certification, and serves multiple OEM sectors; employee counts vary by source (11-50 per LinkedIn, ~42-63 per other estimates), and founder-led status and founder age are not confirmed.</t>
        </is>
      </c>
      <c r="G7" s="54" t="inlineStr">
        <is>
          <t>52-year-old family-owned steel fabricator with strong certifications and a high readiness score.</t>
        </is>
      </c>
      <c r="H7" s="54" t="inlineStr">
        <is>
          <t>New</t>
        </is>
      </c>
      <c r="I7" s="54" t="inlineStr"/>
      <c r="J7" s="54" t="n">
        <v>11</v>
      </c>
    </row>
    <row r="8" ht="90" customHeight="1">
      <c r="A8" s="53" t="n">
        <v>7</v>
      </c>
      <c r="B8" s="54" t="inlineStr">
        <is>
          <t>All Florida Mechanical Services</t>
        </is>
      </c>
      <c r="C8" s="55" t="n">
        <v>70</v>
      </c>
      <c r="D8" s="54" t="inlineStr">
        <is>
          <t>Florida</t>
        </is>
      </c>
      <c r="E8" s="54" t="inlineStr">
        <is>
          <t>All Florida Mechanical Services is a 44-year-old, family-owned commercial HVAC mechanical contractor with a multi-state footprint (FL, GA, AL, MS, LA, SC, NC, TN, TX) and a Seller Readiness Score of 70, suggesting both longevity and potential openness to a transaction. While founder-led status is 'No,' ownership appears concentrated among a small group (Rick Lott, Cedric Lott), which can simplify deal dynamics typical of family-owned businesses considering succession or exit.</t>
        </is>
      </c>
      <c r="F8" s="54" t="inlineStr">
        <is>
          <t>Company website and multiple data sources (PrivCo, Datanyze) confirm founding in 1982 and 44 years in business, with Inc. 5000 recognition (No. 997 in 2021) and Inc.com's 2023 Regionals Southeast profile citing current leadership as Rick Lott and Clay; however, revenue and employee counts vary significantly across sources (e.g., ZoomInfo '&lt;$5M,' Buzzfile ~$1.3M/8 employees, RocketReach ~$2M/23-35 employees), indicating limited reliable financial data.</t>
        </is>
      </c>
      <c r="G8" s="54" t="inlineStr">
        <is>
          <t>44-year-old family-owned Florida HVAC contractor with multi-state reach and Inc. 5000 recognition.</t>
        </is>
      </c>
      <c r="H8" s="54" t="inlineStr">
        <is>
          <t>New</t>
        </is>
      </c>
      <c r="I8" s="54" t="inlineStr"/>
      <c r="J8" s="54" t="n">
        <v>19</v>
      </c>
    </row>
    <row r="9" ht="90" customHeight="1">
      <c r="A9" s="53" t="n">
        <v>8</v>
      </c>
      <c r="B9" s="54" t="inlineStr">
        <is>
          <t>Great Bay Distributors</t>
        </is>
      </c>
      <c r="C9" s="56" t="n">
        <v>60</v>
      </c>
      <c r="D9" s="54" t="inlineStr">
        <is>
          <t>Florida</t>
        </is>
      </c>
      <c r="E9" s="54" t="inlineStr">
        <is>
          <t>Great Bay Distributors is a 58-year-old, third-generation family-owned business operating in a consolidating beverage distribution space, which often signals potential succession or ownership transition considerations. Its scale—over 800 brands, 3,500 licensed accounts, 350+ employees, and two distribution centers—suggests an established, mature operation that could be attractive to acquirers, though founder age and financial specifics remain unknown.</t>
        </is>
      </c>
      <c r="F9" s="54" t="inlineStr">
        <is>
          <t>The company is documented as Florida's largest independently family-owned Anheuser-Busch distributor, with a newly built 268,000-square-foot facility featuring the state's largest privately-owned rooftop solar system, indicating significant scale and infrastructure investment; however, revenue figures from third-party sources are wildly inconsistent and not corroborated by official disclosures.</t>
        </is>
      </c>
      <c r="G9" s="54" t="inlineStr">
        <is>
          <t>58-year-old family-owned Florida beverage distributor with major infrastructure and scale, revenue unclear.</t>
        </is>
      </c>
      <c r="H9" s="54" t="inlineStr">
        <is>
          <t>New</t>
        </is>
      </c>
      <c r="I9" s="54" t="inlineStr"/>
      <c r="J9" s="54" t="n">
        <v>13</v>
      </c>
    </row>
    <row r="10" ht="90" customHeight="1">
      <c r="A10" s="53" t="n">
        <v>9</v>
      </c>
      <c r="B10" s="54" t="inlineStr">
        <is>
          <t>E.O. Painter Printing Co.</t>
        </is>
      </c>
      <c r="C10" s="56" t="n">
        <v>60</v>
      </c>
      <c r="D10" s="54" t="inlineStr">
        <is>
          <t>FL</t>
        </is>
      </c>
      <c r="E10" s="54" t="inlineStr">
        <is>
          <t>E.O. Painter Printing Co. was a long-standing, family-owned Florida printing business (founded 1878, 146 years of operation) with a recognizable heritage brand ('Florida's Oldest Continuously Operating Printing Company'). However, Sunbiz records show the entity underwent voluntary dissolution in July 2024 and its commercial printing customers were transitioned to a related business, Trophy Factory Plus Framing, also owned by the Johnston family, suggesting the original entity itself is no longer an active acquisition target but its customer base/brand may have residual value tied to the successor.</t>
        </is>
      </c>
      <c r="F10" s="54" t="inlineStr">
        <is>
          <t>Sunbiz corporate records confirm 'INACTIVE' status via 'VOLUNTARY DISSOLUTION' effective 07/31/2024, and a related business explicitly states it has taken over E.O. Painter's commercial printing customers, with both entities tied to the Johnston family as officers/owners.</t>
        </is>
      </c>
      <c r="G10" s="54" t="inlineStr">
        <is>
          <t>Legacy 1878 FL printer dissolved in 2024; customers absorbed by family-owned successor business.</t>
        </is>
      </c>
      <c r="H10" s="54" t="inlineStr">
        <is>
          <t>New</t>
        </is>
      </c>
      <c r="I10" s="54" t="inlineStr"/>
      <c r="J10" s="54" t="n">
        <v>14</v>
      </c>
    </row>
    <row r="11" ht="90" customHeight="1">
      <c r="A11" s="53" t="n">
        <v>10</v>
      </c>
      <c r="B11" s="54" t="inlineStr">
        <is>
          <t>Needham Enterprises</t>
        </is>
      </c>
      <c r="C11" s="56" t="n">
        <v>60</v>
      </c>
      <c r="D11" s="54" t="inlineStr">
        <is>
          <t>FL</t>
        </is>
      </c>
      <c r="E11" s="54" t="inlineStr">
        <is>
          <t>Needham Enterprises is a long-standing, family-owned plumbing and electrical contracting business in Ocala, FL, with 43 years in operation since its 1983 founding. It holds active state contractor licenses and has a substantial project history (813 permitted construction projects), suggesting an established, operationally mature business that could be an attractive acquisition target in a fragmented trades sector. However, founder-led status and founder age are unknown, and its moderate Seller Readiness Score (60) suggests seller intent is not strongly confirmed.</t>
        </is>
      </c>
      <c r="F11" s="54" t="inlineStr">
        <is>
          <t>Multiple sources corroborate the company's identity and licensing: Bloomberg and OpenCorporates confirm the 1983/1982 founding, Florida DBPR and BuildZoom confirm active plumbing/electrical contractor licenses under Thomas M. Needham, and BuildZoom notes 813 permitted projects in Florida; BBB confirms family leadership (Thomas M. and Julia Q. Needham).</t>
        </is>
      </c>
      <c r="G11" s="54" t="inlineStr">
        <is>
          <t>Established 43-year family-owned FL plumbing/electrical contractor with active licenses and 800+ permitted projects.</t>
        </is>
      </c>
      <c r="H11" s="54" t="inlineStr">
        <is>
          <t>New</t>
        </is>
      </c>
      <c r="I11" s="54" t="inlineStr"/>
      <c r="J11" s="54" t="n">
        <v>15</v>
      </c>
    </row>
  </sheetData>
  <dataValidations count="1">
    <dataValidation sqref="H2 H3 H4 H5 H6 H7 H8 H9 H10 H11" showDropDown="0" showInputMessage="0" showErrorMessage="0" allowBlank="1" type="list">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2026-07-15T16:42:03Z</dcterms:created>
  <dcterms:modified xmlns:dcterms="http://purl.org/dc/terms/" xmlns:xsi="http://www.w3.org/2001/XMLSchema-instance" xsi:type="dcterms:W3CDTF">2026-07-15T16:42:03Z</dcterms:modified>
</cp:coreProperties>
</file>