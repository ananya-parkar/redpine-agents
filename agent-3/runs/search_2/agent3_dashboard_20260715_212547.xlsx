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ompanies_DB" sheetId="2" state="visible" r:id="rId2"/>
    <sheet xmlns:r="http://schemas.openxmlformats.org/officeDocument/2006/relationships" name="Top_Companies" sheetId="3" state="visible" r:id="rId3"/>
  </sheets>
  <definedNames>
    <definedName name="_xlnm._FilterDatabase" localSheetId="0" hidden="1">'Dashboard'!$A$25:$K$25</definedName>
    <definedName name="_xlnm._FilterDatabase" localSheetId="1" hidden="1">'Companies_DB'!$A$1:$N$1</definedName>
  </definedNames>
  <calcPr calcId="124519" fullCalcOnLoad="1"/>
</workbook>
</file>

<file path=xl/styles.xml><?xml version="1.0" encoding="utf-8"?>
<styleSheet xmlns="http://schemas.openxmlformats.org/spreadsheetml/2006/main">
  <numFmts count="1">
    <numFmt numFmtId="164" formatCode="yyyy-mm-dd"/>
  </numFmts>
  <fonts count="15">
    <font>
      <name val="Calibri"/>
      <family val="2"/>
      <color theme="1"/>
      <sz val="11"/>
      <scheme val="minor"/>
    </font>
    <font>
      <name val="Calibri"/>
      <b val="1"/>
      <color rgb="00FFFFFF"/>
      <sz val="18"/>
    </font>
    <font>
      <name val="Calibri"/>
      <i val="1"/>
      <color rgb="00D1D9E6"/>
      <sz val="10"/>
    </font>
    <font>
      <name val="Calibri"/>
      <b val="1"/>
      <color rgb="00FFFFFF"/>
      <sz val="10"/>
    </font>
    <font>
      <name val="Calibri"/>
      <color rgb="00FFFFFF"/>
      <sz val="10"/>
    </font>
    <font>
      <name val="Calibri"/>
      <b val="1"/>
      <color rgb="00FFFFFF"/>
      <sz val="11"/>
    </font>
    <font>
      <name val="Calibri"/>
      <color rgb="00424242"/>
      <sz val="10"/>
    </font>
    <font>
      <name val="Calibri"/>
      <b val="1"/>
      <color rgb="001B2A4A"/>
      <sz val="24"/>
    </font>
    <font>
      <name val="Calibri"/>
      <i val="1"/>
      <color rgb="00616161"/>
      <sz val="9"/>
    </font>
    <font>
      <name val="Calibri"/>
      <color rgb="00FFFFFF"/>
      <sz val="9"/>
    </font>
    <font>
      <name val="Calibri"/>
      <b val="1"/>
      <color rgb="001B2A4A"/>
      <sz val="11"/>
    </font>
    <font>
      <name val="Calibri"/>
      <sz val="9"/>
    </font>
    <font>
      <name val="Calibri"/>
      <b val="1"/>
      <sz val="10"/>
    </font>
    <font>
      <name val="Calibri"/>
      <sz val="10"/>
    </font>
    <font>
      <name val="Calibri"/>
      <b val="1"/>
      <color rgb="001F7A1F"/>
      <sz val="10"/>
    </font>
  </fonts>
  <fills count="17">
    <fill>
      <patternFill/>
    </fill>
    <fill>
      <patternFill patternType="gray125"/>
    </fill>
    <fill>
      <patternFill patternType="solid">
        <fgColor rgb="001B2A4A"/>
        <bgColor rgb="001B2A4A"/>
      </patternFill>
    </fill>
    <fill>
      <patternFill patternType="solid">
        <fgColor rgb="002E7D8E"/>
        <bgColor rgb="002E7D8E"/>
      </patternFill>
    </fill>
    <fill>
      <patternFill patternType="solid">
        <fgColor rgb="005B3A8E"/>
        <bgColor rgb="005B3A8E"/>
      </patternFill>
    </fill>
    <fill>
      <patternFill patternType="solid">
        <fgColor rgb="001565C0"/>
        <bgColor rgb="001565C0"/>
      </patternFill>
    </fill>
    <fill>
      <patternFill patternType="solid">
        <fgColor rgb="002E7D32"/>
        <bgColor rgb="002E7D32"/>
      </patternFill>
    </fill>
    <fill>
      <patternFill patternType="solid">
        <fgColor rgb="00DCE9F9"/>
        <bgColor rgb="00DCE9F9"/>
      </patternFill>
    </fill>
    <fill>
      <patternFill patternType="solid">
        <fgColor rgb="00DCEFD8"/>
        <bgColor rgb="00DCEFD8"/>
      </patternFill>
    </fill>
    <fill>
      <patternFill patternType="solid">
        <fgColor rgb="00FCF1C9"/>
        <bgColor rgb="00FCF1C9"/>
      </patternFill>
    </fill>
    <fill>
      <patternFill patternType="solid">
        <fgColor rgb="00E6DEF2"/>
        <bgColor rgb="00E6DEF2"/>
      </patternFill>
    </fill>
    <fill>
      <patternFill patternType="solid">
        <fgColor rgb="00DCEAF7"/>
        <bgColor rgb="00DCEAF7"/>
      </patternFill>
    </fill>
    <fill>
      <patternFill patternType="solid">
        <fgColor rgb="00E8F1FB"/>
        <bgColor rgb="00E8F1FB"/>
      </patternFill>
    </fill>
    <fill>
      <patternFill patternType="solid">
        <fgColor rgb="00FFF4D6"/>
        <bgColor rgb="00FFF4D6"/>
      </patternFill>
    </fill>
    <fill>
      <patternFill patternType="solid">
        <fgColor rgb="00EAF6EA"/>
        <bgColor rgb="00EAF6EA"/>
      </patternFill>
    </fill>
    <fill>
      <patternFill patternType="solid">
        <fgColor rgb="00EFF3E6"/>
        <bgColor rgb="00EFF3E6"/>
      </patternFill>
    </fill>
    <fill>
      <patternFill patternType="solid">
        <fgColor rgb="00C6EFCE"/>
        <bgColor rgb="00C6EFCE"/>
      </patternFill>
    </fill>
  </fills>
  <borders count="4">
    <border>
      <left/>
      <right/>
      <top/>
      <bottom/>
      <diagonal/>
    </border>
    <border>
      <right style="thin">
        <color rgb="003D4A6B"/>
      </right>
    </border>
    <border>
      <left style="thin">
        <color rgb="00D3D3D3"/>
      </left>
      <right style="thin">
        <color rgb="00D3D3D3"/>
      </right>
      <top style="thin">
        <color rgb="00D3D3D3"/>
      </top>
      <bottom style="thin">
        <color rgb="00D3D3D3"/>
      </bottom>
    </border>
    <border>
      <bottom style="thin">
        <color rgb="00E0E0E0"/>
      </bottom>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3" fillId="2" borderId="0" applyAlignment="1" pivotButton="0" quotePrefix="0" xfId="0">
      <alignment horizontal="left" vertical="center"/>
    </xf>
    <xf numFmtId="0" fontId="0" fillId="2" borderId="1" pivotButton="0" quotePrefix="0" xfId="0"/>
    <xf numFmtId="0" fontId="4" fillId="2" borderId="0" applyAlignment="1" pivotButton="0" quotePrefix="0" xfId="0">
      <alignment horizontal="left" vertical="center"/>
    </xf>
    <xf numFmtId="0" fontId="2" fillId="2" borderId="0" applyAlignment="1" pivotButton="0" quotePrefix="0" xfId="0">
      <alignment horizontal="left" vertical="center" indent="1"/>
    </xf>
    <xf numFmtId="0" fontId="5" fillId="2" borderId="0" applyAlignment="1" pivotButton="0" quotePrefix="0" xfId="0">
      <alignment horizontal="left" vertical="center"/>
    </xf>
    <xf numFmtId="0" fontId="3" fillId="3" borderId="0" applyAlignment="1" pivotButton="0" quotePrefix="0" xfId="0">
      <alignment horizontal="left" vertical="center" indent="1"/>
    </xf>
    <xf numFmtId="0" fontId="3" fillId="4" borderId="0" applyAlignment="1" pivotButton="0" quotePrefix="0" xfId="0">
      <alignment horizontal="left" vertical="center" indent="1"/>
    </xf>
    <xf numFmtId="0" fontId="3" fillId="5" borderId="0" applyAlignment="1" pivotButton="0" quotePrefix="0" xfId="0">
      <alignment horizontal="left" vertical="center" indent="1"/>
    </xf>
    <xf numFmtId="0" fontId="3" fillId="6" borderId="0" applyAlignment="1" pivotButton="0" quotePrefix="0" xfId="0">
      <alignment horizontal="left" vertical="center" indent="1"/>
    </xf>
    <xf numFmtId="0" fontId="6" fillId="7" borderId="0" applyAlignment="1" pivotButton="0" quotePrefix="0" xfId="0">
      <alignment horizontal="left" vertical="center" indent="1"/>
    </xf>
    <xf numFmtId="0" fontId="0" fillId="7" borderId="0" pivotButton="0" quotePrefix="0" xfId="0"/>
    <xf numFmtId="0" fontId="6" fillId="8" borderId="0" applyAlignment="1" pivotButton="0" quotePrefix="0" xfId="0">
      <alignment horizontal="left" vertical="center" indent="1"/>
    </xf>
    <xf numFmtId="0" fontId="0" fillId="8" borderId="0" pivotButton="0" quotePrefix="0" xfId="0"/>
    <xf numFmtId="0" fontId="6" fillId="9" borderId="0" applyAlignment="1" pivotButton="0" quotePrefix="0" xfId="0">
      <alignment horizontal="left" vertical="center" indent="1"/>
    </xf>
    <xf numFmtId="0" fontId="0" fillId="9" borderId="0" pivotButton="0" quotePrefix="0" xfId="0"/>
    <xf numFmtId="0" fontId="6" fillId="10" borderId="0" applyAlignment="1" pivotButton="0" quotePrefix="0" xfId="0">
      <alignment horizontal="left" vertical="center" indent="1"/>
    </xf>
    <xf numFmtId="0" fontId="0" fillId="10" borderId="0" pivotButton="0" quotePrefix="0" xfId="0"/>
    <xf numFmtId="0" fontId="6" fillId="11" borderId="0" applyAlignment="1" pivotButton="0" quotePrefix="0" xfId="0">
      <alignment horizontal="left" vertical="center" indent="1"/>
    </xf>
    <xf numFmtId="0" fontId="0" fillId="11" borderId="0" pivotButton="0" quotePrefix="0" xfId="0"/>
    <xf numFmtId="0" fontId="7" fillId="7" borderId="0" applyAlignment="1" pivotButton="0" quotePrefix="0" xfId="0">
      <alignment horizontal="left" vertical="center" indent="1"/>
    </xf>
    <xf numFmtId="0" fontId="7" fillId="8" borderId="0" applyAlignment="1" pivotButton="0" quotePrefix="0" xfId="0">
      <alignment horizontal="left" vertical="center" indent="1"/>
    </xf>
    <xf numFmtId="0" fontId="7" fillId="9" borderId="0" applyAlignment="1" pivotButton="0" quotePrefix="0" xfId="0">
      <alignment horizontal="left" vertical="center" indent="1"/>
    </xf>
    <xf numFmtId="0" fontId="7" fillId="10" borderId="0" applyAlignment="1" pivotButton="0" quotePrefix="0" xfId="0">
      <alignment horizontal="left" vertical="center" indent="1"/>
    </xf>
    <xf numFmtId="0" fontId="7" fillId="11" borderId="0" applyAlignment="1" pivotButton="0" quotePrefix="0" xfId="0">
      <alignment horizontal="left" vertical="center" indent="1"/>
    </xf>
    <xf numFmtId="0" fontId="8" fillId="7" borderId="0" applyAlignment="1" pivotButton="0" quotePrefix="0" xfId="0">
      <alignment horizontal="left" vertical="center" indent="1"/>
    </xf>
    <xf numFmtId="0" fontId="8" fillId="8" borderId="0" applyAlignment="1" pivotButton="0" quotePrefix="0" xfId="0">
      <alignment horizontal="left" vertical="center" indent="1"/>
    </xf>
    <xf numFmtId="0" fontId="8" fillId="9" borderId="0" applyAlignment="1" pivotButton="0" quotePrefix="0" xfId="0">
      <alignment horizontal="left" vertical="center" indent="1"/>
    </xf>
    <xf numFmtId="0" fontId="8" fillId="10" borderId="0" applyAlignment="1" pivotButton="0" quotePrefix="0" xfId="0">
      <alignment horizontal="left" vertical="center" indent="1"/>
    </xf>
    <xf numFmtId="0" fontId="8" fillId="11" borderId="0" applyAlignment="1" pivotButton="0" quotePrefix="0" xfId="0">
      <alignment horizontal="left" vertical="center" indent="1"/>
    </xf>
    <xf numFmtId="0" fontId="9" fillId="0" borderId="0" pivotButton="0" quotePrefix="0" xfId="0"/>
    <xf numFmtId="0" fontId="10" fillId="12" borderId="2" applyAlignment="1" pivotButton="0" quotePrefix="0" xfId="0">
      <alignment horizontal="center" vertical="center" wrapText="1"/>
    </xf>
    <xf numFmtId="0" fontId="0" fillId="0" borderId="2" pivotButton="0" quotePrefix="0" xfId="0"/>
    <xf numFmtId="0" fontId="5" fillId="2" borderId="0" applyAlignment="1" pivotButton="0" quotePrefix="0" xfId="0">
      <alignment horizontal="left" vertical="center" indent="1"/>
    </xf>
    <xf numFmtId="0" fontId="11" fillId="15" borderId="0" applyAlignment="1" pivotButton="0" quotePrefix="0" xfId="0">
      <alignment vertical="center" wrapText="1" indent="1"/>
    </xf>
    <xf numFmtId="0" fontId="0" fillId="15" borderId="0" pivotButton="0" quotePrefix="0" xfId="0"/>
    <xf numFmtId="0" fontId="10" fillId="13" borderId="2" applyAlignment="1" pivotButton="0" quotePrefix="0" xfId="0">
      <alignment horizontal="center" vertical="center" wrapText="1"/>
    </xf>
    <xf numFmtId="0" fontId="10" fillId="14" borderId="2" applyAlignment="1" pivotButton="0" quotePrefix="0" xfId="0">
      <alignment horizontal="center" vertical="center" wrapText="1"/>
    </xf>
    <xf numFmtId="0" fontId="3" fillId="2" borderId="0" applyAlignment="1" pivotButton="0" quotePrefix="0" xfId="0">
      <alignment horizontal="center" vertical="center" wrapText="1"/>
    </xf>
    <xf numFmtId="0" fontId="12" fillId="0" borderId="0" applyAlignment="1" pivotButton="0" quotePrefix="0" xfId="0">
      <alignment horizontal="center" vertical="center"/>
    </xf>
    <xf numFmtId="0" fontId="13" fillId="0" borderId="3" applyAlignment="1" pivotButton="0" quotePrefix="0" xfId="0">
      <alignment vertical="center" wrapText="1"/>
    </xf>
    <xf numFmtId="0" fontId="13" fillId="0" borderId="3" applyAlignment="1" pivotButton="0" quotePrefix="0" xfId="0">
      <alignment vertical="center"/>
    </xf>
    <xf numFmtId="0" fontId="13" fillId="0" borderId="3" applyAlignment="1" pivotButton="0" quotePrefix="0" xfId="0">
      <alignment horizontal="center" vertical="center"/>
    </xf>
    <xf numFmtId="0" fontId="12" fillId="16" borderId="3" applyAlignment="1" pivotButton="0" quotePrefix="0" xfId="0">
      <alignment horizontal="center" vertical="center"/>
    </xf>
    <xf numFmtId="0" fontId="14" fillId="0" borderId="3" applyAlignment="1" pivotButton="0" quotePrefix="0" xfId="0">
      <alignment vertical="center"/>
    </xf>
    <xf numFmtId="0" fontId="3" fillId="2" borderId="0" applyAlignment="1" pivotButton="0" quotePrefix="0" xfId="0">
      <alignment horizontal="center" wrapText="1"/>
    </xf>
    <xf numFmtId="0" fontId="13" fillId="0" borderId="3" pivotButton="0" quotePrefix="0" xfId="0"/>
    <xf numFmtId="0" fontId="13" fillId="16" borderId="3" pivotButton="0" quotePrefix="0" xfId="0"/>
    <xf numFmtId="164" fontId="13" fillId="0" borderId="3" pivotButton="0" quotePrefix="0" xfId="0"/>
    <xf numFmtId="0" fontId="12" fillId="0" borderId="0" pivotButton="0" quotePrefix="0" xfId="0"/>
    <xf numFmtId="0" fontId="13" fillId="0" borderId="3" applyAlignment="1" pivotButton="0" quotePrefix="0" xfId="0">
      <alignment vertical="top" wrapText="1"/>
    </xf>
    <xf numFmtId="0" fontId="12" fillId="16" borderId="3"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TARGETS BY GEOGRAPHY</a:t>
            </a:r>
          </a:p>
        </rich>
      </tx>
    </title>
    <plotArea>
      <pieChart>
        <varyColors val="1"/>
        <ser>
          <idx val="0"/>
          <order val="0"/>
          <tx>
            <strRef>
              <f>'Dashboard'!B11</f>
            </strRef>
          </tx>
          <spPr>
            <a:ln xmlns:a="http://schemas.openxmlformats.org/drawingml/2006/main">
              <a:prstDash val="solid"/>
            </a:ln>
          </spPr>
          <cat>
            <numRef>
              <f>'Dashboard'!$A$12</f>
            </numRef>
          </cat>
          <val>
            <numRef>
              <f>'Dashboard'!$B$12</f>
            </numRef>
          </val>
        </ser>
        <dLbls>
          <showLegendKey val="0"/>
          <showVal val="0"/>
          <showCatName val="0"/>
          <showSerName val="0"/>
          <showPercent val="1"/>
        </dLbls>
        <firstSliceAng val="0"/>
      </pieChart>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SELLER READINESS SCORE DISTRIBUTION</a:t>
            </a:r>
          </a:p>
        </rich>
      </tx>
    </title>
    <plotArea>
      <barChart>
        <barDir val="col"/>
        <grouping val="clustered"/>
        <ser>
          <idx val="0"/>
          <order val="0"/>
          <tx>
            <strRef>
              <f>'Dashboard'!E11</f>
            </strRef>
          </tx>
          <spPr>
            <a:ln xmlns:a="http://schemas.openxmlformats.org/drawingml/2006/main">
              <a:prstDash val="solid"/>
            </a:ln>
          </spPr>
          <cat>
            <numRef>
              <f>'Dashboard'!$D$12:$D$15</f>
            </numRef>
          </cat>
          <val>
            <numRef>
              <f>'Dashboard'!$E$12:$E$15</f>
            </numRef>
          </val>
        </ser>
        <dLbls>
          <showLegendKey val="0"/>
          <showVal val="1"/>
          <showCatName val="0"/>
          <showSerName val="0"/>
        </dLbls>
        <gapWidth val="50"/>
        <axId val="10"/>
        <axId val="100"/>
      </barChart>
      <catAx>
        <axId val="10"/>
        <scaling>
          <orientation val="minMax"/>
        </scaling>
        <delete val="0"/>
        <axPos val="l"/>
        <majorTickMark val="none"/>
        <minorTickMark val="none"/>
        <crossAx val="100"/>
        <lblOffset val="100"/>
      </catAx>
      <valAx>
        <axId val="100"/>
        <scaling>
          <orientation val="minMax"/>
        </scaling>
        <delete val="1"/>
        <axPos val="l"/>
        <majorTickMark val="none"/>
        <minorTickMark val="none"/>
        <crossAx val="10"/>
      </valAx>
    </plotArea>
    <plotVisOnly val="1"/>
    <dispBlanksAs val="gap"/>
  </chart>
</chartSpace>
</file>

<file path=xl/charts/chart3.xml><?xml version="1.0" encoding="utf-8"?>
<chartSpace xmlns="http://schemas.openxmlformats.org/drawingml/2006/chart">
  <style val="11"/>
  <chart>
    <title>
      <tx>
        <rich>
          <a:bodyPr xmlns:a="http://schemas.openxmlformats.org/drawingml/2006/main"/>
          <a:p xmlns:a="http://schemas.openxmlformats.org/drawingml/2006/main">
            <a:pPr>
              <a:defRPr/>
            </a:pPr>
            <a:r>
              <a:t>INDUSTRY BREAKDOWN</a:t>
            </a:r>
          </a:p>
        </rich>
      </tx>
    </title>
    <plotArea>
      <barChart>
        <barDir val="bar"/>
        <grouping val="clustered"/>
        <ser>
          <idx val="0"/>
          <order val="0"/>
          <tx>
            <strRef>
              <f>'Dashboard'!H11</f>
            </strRef>
          </tx>
          <spPr>
            <a:ln xmlns:a="http://schemas.openxmlformats.org/drawingml/2006/main">
              <a:prstDash val="solid"/>
            </a:ln>
          </spPr>
          <cat>
            <numRef>
              <f>'Dashboard'!$G$12:$G$13</f>
            </numRef>
          </cat>
          <val>
            <numRef>
              <f>'Dashboard'!$H$12:$H$13</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1"/>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10</row>
      <rowOff>0</rowOff>
    </from>
    <ext cx="21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10</row>
      <rowOff>0</rowOff>
    </from>
    <ext cx="21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10</row>
      <rowOff>0</rowOff>
    </from>
    <ext cx="252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27"/>
  <sheetViews>
    <sheetView showGridLines="0" workbookViewId="0">
      <selection activeCell="A1" sqref="A1"/>
    </sheetView>
  </sheetViews>
  <sheetFormatPr baseColWidth="8" defaultRowHeight="15"/>
  <cols>
    <col width="6" customWidth="1" min="1" max="1"/>
    <col width="26" customWidth="1" min="2" max="2"/>
    <col width="20" customWidth="1" min="3" max="3"/>
    <col width="14" customWidth="1" min="4" max="4"/>
    <col width="14" customWidth="1" min="5" max="5"/>
    <col width="10" customWidth="1" min="6" max="6"/>
    <col width="13" customWidth="1" min="7" max="7"/>
    <col width="16" customWidth="1" min="8" max="8"/>
    <col width="12" customWidth="1" min="9" max="9"/>
    <col width="32" customWidth="1" min="10" max="10"/>
    <col width="14"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26" customHeight="1">
      <c r="A1" s="1" t="inlineStr">
        <is>
          <t>Business Acquisition Targeting Dashboard</t>
        </is>
      </c>
      <c r="B1" s="2" t="n"/>
      <c r="C1" s="2" t="n"/>
      <c r="D1" s="2" t="n"/>
      <c r="E1" s="2" t="n"/>
      <c r="F1" s="2" t="n"/>
      <c r="G1" s="2" t="n"/>
      <c r="H1" s="3" t="inlineStr">
        <is>
          <t>Geography:</t>
        </is>
      </c>
      <c r="I1" s="4" t="n"/>
      <c r="J1" s="5" t="inlineStr">
        <is>
          <t>Data as of:</t>
        </is>
      </c>
      <c r="K1" s="2" t="n"/>
    </row>
    <row r="2" ht="18" customHeight="1">
      <c r="A2" s="6" t="inlineStr">
        <is>
          <t>Surface family-owned, founder-led businesses that fit the acquisition profile</t>
        </is>
      </c>
      <c r="B2" s="2" t="n"/>
      <c r="C2" s="2" t="n"/>
      <c r="D2" s="2" t="n"/>
      <c r="E2" s="2" t="n"/>
      <c r="F2" s="2" t="n"/>
      <c r="G2" s="2" t="n"/>
      <c r="H2" s="5" t="inlineStr">
        <is>
          <t>Florida</t>
        </is>
      </c>
      <c r="I2" s="4" t="n"/>
      <c r="J2" s="7" t="inlineStr">
        <is>
          <t>15-Jul-2026 09:25 PM</t>
        </is>
      </c>
      <c r="K2" s="2" t="n"/>
    </row>
    <row r="3" ht="4" customHeight="1">
      <c r="A3" s="2" t="n"/>
      <c r="B3" s="2" t="n"/>
      <c r="C3" s="2" t="n"/>
      <c r="D3" s="2" t="n"/>
      <c r="E3" s="2" t="n"/>
      <c r="F3" s="2" t="n"/>
      <c r="G3" s="2" t="n"/>
      <c r="H3" s="2" t="n"/>
      <c r="I3" s="2" t="n"/>
      <c r="J3" s="2" t="n"/>
      <c r="K3" s="2" t="n"/>
    </row>
    <row r="4" ht="24" customHeight="1">
      <c r="A4" s="8" t="inlineStr">
        <is>
          <t xml:space="preserve">  Founder-Led:  2</t>
        </is>
      </c>
      <c r="D4" s="9" t="inlineStr">
        <is>
          <t xml:space="preserve">  Family-Owned:  2</t>
        </is>
      </c>
      <c r="G4" s="10" t="inlineStr">
        <is>
          <t xml:space="preserve">  Highest Score:  105</t>
        </is>
      </c>
      <c r="J4" s="11" t="inlineStr">
        <is>
          <t xml:space="preserve">  New Today:  2</t>
        </is>
      </c>
    </row>
    <row r="5" ht="4" customHeight="1">
      <c r="A5" s="2" t="n"/>
      <c r="B5" s="2" t="n"/>
      <c r="C5" s="2" t="n"/>
      <c r="D5" s="2" t="n"/>
      <c r="E5" s="2" t="n"/>
      <c r="F5" s="2" t="n"/>
      <c r="G5" s="2" t="n"/>
      <c r="H5" s="2" t="n"/>
      <c r="I5" s="2" t="n"/>
      <c r="J5" s="2" t="n"/>
      <c r="K5" s="2" t="n"/>
    </row>
    <row r="6" ht="18" customHeight="1">
      <c r="A6" s="12" t="inlineStr">
        <is>
          <t>🎯 Total Targets Found</t>
        </is>
      </c>
      <c r="B6" s="13" t="n"/>
      <c r="C6" s="14" t="inlineStr">
        <is>
          <t>➕ New This Week</t>
        </is>
      </c>
      <c r="D6" s="15" t="n"/>
      <c r="E6" s="16" t="inlineStr">
        <is>
          <t>⭐ Shortlisted</t>
        </is>
      </c>
      <c r="F6" s="17" t="n"/>
      <c r="G6" s="17" t="n"/>
      <c r="H6" s="18" t="inlineStr">
        <is>
          <t>📋 In Review</t>
        </is>
      </c>
      <c r="I6" s="19" t="n"/>
      <c r="J6" s="20" t="inlineStr">
        <is>
          <t>✅ Reviewed</t>
        </is>
      </c>
      <c r="K6" s="21" t="n"/>
    </row>
    <row r="7" ht="30" customHeight="1">
      <c r="A7" s="22" t="n">
        <v>2</v>
      </c>
      <c r="B7" s="13" t="n"/>
      <c r="C7" s="23" t="n">
        <v>2</v>
      </c>
      <c r="D7" s="15" t="n"/>
      <c r="E7" s="24" t="n">
        <v>0</v>
      </c>
      <c r="F7" s="17" t="n"/>
      <c r="G7" s="17" t="n"/>
      <c r="H7" s="25" t="n">
        <v>2</v>
      </c>
      <c r="I7" s="19" t="n"/>
      <c r="J7" s="26" t="n">
        <v>0</v>
      </c>
      <c r="K7" s="21" t="n"/>
    </row>
    <row r="8" ht="16" customHeight="1">
      <c r="A8" s="27" t="inlineStr">
        <is>
          <t>All Time</t>
        </is>
      </c>
      <c r="B8" s="13" t="n"/>
      <c r="C8" s="28" t="inlineStr">
        <is>
          <t>vs Last Week: — 0</t>
        </is>
      </c>
      <c r="D8" s="15" t="n"/>
      <c r="E8" s="29" t="inlineStr">
        <is>
          <t>vs Last Week: — 0</t>
        </is>
      </c>
      <c r="F8" s="17" t="n"/>
      <c r="G8" s="17" t="n"/>
      <c r="H8" s="30" t="inlineStr">
        <is>
          <t>vs Last Week: — 0</t>
        </is>
      </c>
      <c r="I8" s="19" t="n"/>
      <c r="J8" s="31" t="inlineStr">
        <is>
          <t>vs Last Week: — 0</t>
        </is>
      </c>
      <c r="K8" s="21" t="n"/>
    </row>
    <row r="9" ht="8" customHeight="1">
      <c r="A9" s="13" t="n"/>
      <c r="B9" s="13" t="n"/>
      <c r="C9" s="15" t="n"/>
      <c r="D9" s="15" t="n"/>
      <c r="E9" s="17" t="n"/>
      <c r="F9" s="17" t="n"/>
      <c r="G9" s="17" t="n"/>
      <c r="H9" s="19" t="n"/>
      <c r="I9" s="19" t="n"/>
      <c r="J9" s="21" t="n"/>
      <c r="K9" s="21" t="n"/>
    </row>
    <row r="11" ht="22" customHeight="1">
      <c r="A11" s="32" t="inlineStr">
        <is>
          <t>State</t>
        </is>
      </c>
      <c r="B11" s="32" t="inlineStr">
        <is>
          <t>Count</t>
        </is>
      </c>
      <c r="D11" s="32" t="inlineStr">
        <is>
          <t>Band</t>
        </is>
      </c>
      <c r="E11" s="32" t="inlineStr">
        <is>
          <t>Count</t>
        </is>
      </c>
      <c r="G11" s="32" t="inlineStr">
        <is>
          <t>Industry</t>
        </is>
      </c>
      <c r="H11" s="33" t="inlineStr">
        <is>
          <t>📍 TOP GEOGRAPHY
Florida</t>
        </is>
      </c>
      <c r="I11" s="34" t="n"/>
      <c r="J11" s="35" t="inlineStr">
        <is>
          <t>Key Insights</t>
        </is>
      </c>
    </row>
    <row r="12" ht="16" customHeight="1">
      <c r="A12" s="32" t="inlineStr">
        <is>
          <t>Florida</t>
        </is>
      </c>
      <c r="B12" s="32" t="n">
        <v>2</v>
      </c>
      <c r="D12" s="32" t="inlineStr">
        <is>
          <t>20-40</t>
        </is>
      </c>
      <c r="E12" s="32" t="n">
        <v>0</v>
      </c>
      <c r="G12" s="32" t="inlineStr">
        <is>
          <t>Residential Constr...</t>
        </is>
      </c>
      <c r="H12" s="34" t="n"/>
      <c r="I12" s="34" t="n"/>
      <c r="J12" s="36" t="inlineStr">
        <is>
          <t>• ✓ Founder-Led: 100%</t>
        </is>
      </c>
      <c r="K12" s="37" t="n"/>
    </row>
    <row r="13" ht="16" customHeight="1">
      <c r="D13" s="32" t="inlineStr">
        <is>
          <t>40-60</t>
        </is>
      </c>
      <c r="E13" s="32" t="n">
        <v>0</v>
      </c>
      <c r="G13" s="32" t="inlineStr">
        <is>
          <t>Marine / Boat Manu...</t>
        </is>
      </c>
      <c r="H13" s="34" t="n"/>
      <c r="I13" s="34" t="n"/>
      <c r="J13" s="37" t="n"/>
      <c r="K13" s="37" t="n"/>
    </row>
    <row r="14" ht="16" customHeight="1">
      <c r="D14" s="32" t="inlineStr">
        <is>
          <t>60-80</t>
        </is>
      </c>
      <c r="E14" s="32" t="n">
        <v>0</v>
      </c>
      <c r="J14" s="36" t="inlineStr">
        <is>
          <t>• 🏠 Family-Owned: 100%</t>
        </is>
      </c>
      <c r="K14" s="37" t="n"/>
    </row>
    <row r="15" ht="16" customHeight="1">
      <c r="D15" s="32" t="inlineStr">
        <is>
          <t>80-100</t>
        </is>
      </c>
      <c r="E15" s="32" t="n">
        <v>0</v>
      </c>
      <c r="H15" s="38" t="inlineStr">
        <is>
          <t>⭐ HIGHEST SCORE
105</t>
        </is>
      </c>
      <c r="I15" s="34" t="n"/>
      <c r="J15" s="37" t="n"/>
      <c r="K15" s="37" t="n"/>
    </row>
    <row r="16" ht="16" customHeight="1">
      <c r="H16" s="34" t="n"/>
      <c r="I16" s="34" t="n"/>
      <c r="J16" s="36" t="inlineStr">
        <is>
          <t>• 📍 Top Geography: Florida</t>
        </is>
      </c>
      <c r="K16" s="37" t="n"/>
    </row>
    <row r="17" ht="16" customHeight="1">
      <c r="H17" s="34" t="n"/>
      <c r="I17" s="34" t="n"/>
      <c r="J17" s="37" t="n"/>
      <c r="K17" s="37" t="n"/>
    </row>
    <row r="18" ht="16" customHeight="1">
      <c r="J18" s="36" t="inlineStr">
        <is>
          <t>• 🆕 New Targets: 2</t>
        </is>
      </c>
      <c r="K18" s="37" t="n"/>
    </row>
    <row r="19" ht="16" customHeight="1">
      <c r="H19" s="39" t="inlineStr">
        <is>
          <t>🏆 TOP INDUSTRY
Residential Constr...</t>
        </is>
      </c>
      <c r="I19" s="34" t="n"/>
      <c r="J19" s="37" t="n"/>
      <c r="K19" s="37" t="n"/>
    </row>
    <row r="20" ht="16" customHeight="1">
      <c r="H20" s="34" t="n"/>
      <c r="I20" s="34" t="n"/>
      <c r="J20" s="36" t="inlineStr">
        <is>
          <t>• ⭐ High Scorers (80+): 2</t>
        </is>
      </c>
      <c r="K20" s="37" t="n"/>
    </row>
    <row r="21" ht="16" customHeight="1">
      <c r="H21" s="34" t="n"/>
      <c r="I21" s="34" t="n"/>
      <c r="J21" s="37" t="n"/>
      <c r="K21" s="37" t="n"/>
    </row>
    <row r="22" ht="16" customHeight="1">
      <c r="H22" s="34" t="n"/>
      <c r="I22" s="34" t="n"/>
      <c r="J22" s="37" t="n"/>
      <c r="K22" s="37" t="n"/>
    </row>
    <row r="25" ht="26" customHeight="1">
      <c r="A25" s="40" t="inlineStr">
        <is>
          <t>Rank</t>
        </is>
      </c>
      <c r="B25" s="40" t="inlineStr">
        <is>
          <t>Company Name</t>
        </is>
      </c>
      <c r="C25" s="40" t="inlineStr">
        <is>
          <t>Founder Name</t>
        </is>
      </c>
      <c r="D25" s="40" t="inlineStr">
        <is>
          <t>Founder Age (Est.)</t>
        </is>
      </c>
      <c r="E25" s="40" t="inlineStr">
        <is>
          <t>Years in Business</t>
        </is>
      </c>
      <c r="F25" s="40" t="inlineStr">
        <is>
          <t>State</t>
        </is>
      </c>
      <c r="G25" s="40" t="inlineStr">
        <is>
          <t>Readiness Score</t>
        </is>
      </c>
      <c r="H25" s="40" t="inlineStr">
        <is>
          <t>Ownership Status</t>
        </is>
      </c>
      <c r="I25" s="40" t="inlineStr">
        <is>
          <t>Status</t>
        </is>
      </c>
      <c r="J25" s="40" t="inlineStr">
        <is>
          <t>Why Selected</t>
        </is>
      </c>
      <c r="K25" s="40" t="inlineStr">
        <is>
          <t>Ownership Tenure</t>
        </is>
      </c>
    </row>
    <row r="26">
      <c r="A26" s="41" t="n">
        <v>1</v>
      </c>
      <c r="B26" s="42" t="inlineStr">
        <is>
          <t>Charles Clayton Construction</t>
        </is>
      </c>
      <c r="C26" s="42" t="inlineStr">
        <is>
          <t>Charles "Charlie" Clayton III</t>
        </is>
      </c>
      <c r="D26" s="43" t="inlineStr">
        <is>
          <t>Approximately 59 years old as of a 2020 profile (would be approximately 65 in 2026)</t>
        </is>
      </c>
      <c r="E26" s="44" t="n">
        <v>32</v>
      </c>
      <c r="F26" s="43" t="inlineStr">
        <is>
          <t>FL</t>
        </is>
      </c>
      <c r="G26" s="45" t="n">
        <v>105</v>
      </c>
      <c r="H26" s="43" t="inlineStr">
        <is>
          <t>Founder Owned</t>
        </is>
      </c>
      <c r="I26" s="46" t="inlineStr">
        <is>
          <t>New</t>
        </is>
      </c>
      <c r="J26" s="42" t="inlineStr">
        <is>
          <t>Founder-led Florida custom homebuilder, ~32 years in business, founder nearing retirement age.</t>
        </is>
      </c>
      <c r="K26" s="43" t="n">
        <v>32</v>
      </c>
    </row>
    <row r="27">
      <c r="A27" s="41" t="n">
        <v>2</v>
      </c>
      <c r="B27" s="42" t="inlineStr">
        <is>
          <t>Monterey Boats (Marine Industries of Florida)</t>
        </is>
      </c>
      <c r="C27" s="42" t="inlineStr">
        <is>
          <t>Charles Marshall and Jeff Marshall</t>
        </is>
      </c>
      <c r="D27" s="43" t="inlineStr">
        <is>
          <t>Unknown</t>
        </is>
      </c>
      <c r="E27" s="44" t="n">
        <v>41</v>
      </c>
      <c r="F27" s="43" t="inlineStr">
        <is>
          <t>FL</t>
        </is>
      </c>
      <c r="G27" s="45" t="n">
        <v>100</v>
      </c>
      <c r="H27" s="43" t="inlineStr">
        <is>
          <t>Founder Owned</t>
        </is>
      </c>
      <c r="I27" s="46" t="inlineStr">
        <is>
          <t>New</t>
        </is>
      </c>
      <c r="J27" s="42" t="inlineStr">
        <is>
          <t>41-year-old founder-led, family-owned boat maker with $83M revenue and top seller-readiness score.</t>
        </is>
      </c>
      <c r="K27" s="43" t="n">
        <v>41</v>
      </c>
    </row>
  </sheetData>
  <autoFilter ref="A25:K25"/>
  <mergeCells count="38">
    <mergeCell ref="C6:D6"/>
    <mergeCell ref="H15:I17"/>
    <mergeCell ref="H1:I1"/>
    <mergeCell ref="J16:K17"/>
    <mergeCell ref="E9:G9"/>
    <mergeCell ref="A6:B6"/>
    <mergeCell ref="E6:G6"/>
    <mergeCell ref="H9:I9"/>
    <mergeCell ref="J9:K9"/>
    <mergeCell ref="A2:F2"/>
    <mergeCell ref="J18:K19"/>
    <mergeCell ref="H6:I6"/>
    <mergeCell ref="A7:B7"/>
    <mergeCell ref="J6:K6"/>
    <mergeCell ref="J12:K13"/>
    <mergeCell ref="D4:F4"/>
    <mergeCell ref="H19:I22"/>
    <mergeCell ref="G4:I4"/>
    <mergeCell ref="C9:D9"/>
    <mergeCell ref="A4:C4"/>
    <mergeCell ref="E7:G7"/>
    <mergeCell ref="J14:K15"/>
    <mergeCell ref="J4:K4"/>
    <mergeCell ref="H2:I2"/>
    <mergeCell ref="J11:K11"/>
    <mergeCell ref="H11:I13"/>
    <mergeCell ref="J20:K22"/>
    <mergeCell ref="H7:I7"/>
    <mergeCell ref="J7:K7"/>
    <mergeCell ref="A8:B8"/>
    <mergeCell ref="C8:D8"/>
    <mergeCell ref="C7:D7"/>
    <mergeCell ref="J2:K2"/>
    <mergeCell ref="A1:F1"/>
    <mergeCell ref="E8:G8"/>
    <mergeCell ref="H8:I8"/>
    <mergeCell ref="A9:B9"/>
    <mergeCell ref="J8:K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8" customWidth="1" min="3" max="3"/>
    <col width="14" customWidth="1" min="4" max="4"/>
    <col width="12" customWidth="1" min="5" max="5"/>
    <col width="14" customWidth="1" min="6" max="6"/>
    <col width="20" customWidth="1" min="7" max="7"/>
    <col width="12" customWidth="1" min="8" max="8"/>
    <col width="12" customWidth="1" min="9" max="9"/>
    <col width="14" customWidth="1" min="10" max="10"/>
    <col width="16" customWidth="1" min="11" max="11"/>
    <col width="14" customWidth="1" min="12" max="12"/>
    <col width="14" customWidth="1" min="13" max="13"/>
    <col width="14" customWidth="1" min="14" max="14"/>
  </cols>
  <sheetData>
    <row r="1">
      <c r="A1" s="47" t="inlineStr">
        <is>
          <t>Company Name</t>
        </is>
      </c>
      <c r="B1" s="47" t="inlineStr">
        <is>
          <t>State</t>
        </is>
      </c>
      <c r="C1" s="47" t="inlineStr">
        <is>
          <t>Industry</t>
        </is>
      </c>
      <c r="D1" s="47" t="inlineStr">
        <is>
          <t>Company Type</t>
        </is>
      </c>
      <c r="E1" s="47" t="inlineStr">
        <is>
          <t>Founded Year</t>
        </is>
      </c>
      <c r="F1" s="47" t="inlineStr">
        <is>
          <t>Years in Business</t>
        </is>
      </c>
      <c r="G1" s="47" t="inlineStr">
        <is>
          <t>Founder Name</t>
        </is>
      </c>
      <c r="H1" s="47" t="inlineStr">
        <is>
          <t>Founder Led</t>
        </is>
      </c>
      <c r="I1" s="47" t="inlineStr">
        <is>
          <t>Family Owned</t>
        </is>
      </c>
      <c r="J1" s="47" t="inlineStr">
        <is>
          <t>Founder Age Est.</t>
        </is>
      </c>
      <c r="K1" s="47" t="inlineStr">
        <is>
          <t>Seller Readiness Score</t>
        </is>
      </c>
      <c r="L1" s="47" t="inlineStr">
        <is>
          <t>Review Status</t>
        </is>
      </c>
      <c r="M1" s="47" t="inlineStr">
        <is>
          <t>First Seen</t>
        </is>
      </c>
      <c r="N1" s="47" t="inlineStr">
        <is>
          <t>Last Seen</t>
        </is>
      </c>
    </row>
    <row r="2">
      <c r="A2" s="48" t="inlineStr">
        <is>
          <t>Charles Clayton Construction</t>
        </is>
      </c>
      <c r="B2" s="48" t="inlineStr">
        <is>
          <t>FL</t>
        </is>
      </c>
      <c r="C2" s="48" t="inlineStr">
        <is>
          <t>Residential Construction / Custom Homebuilding</t>
        </is>
      </c>
      <c r="D2" s="48" t="inlineStr">
        <is>
          <t>Private</t>
        </is>
      </c>
      <c r="E2" s="48" t="inlineStr">
        <is>
          <t>1994</t>
        </is>
      </c>
      <c r="F2" s="48" t="n">
        <v>32</v>
      </c>
      <c r="G2" s="48" t="inlineStr">
        <is>
          <t>Charles "Charlie" Clayton III</t>
        </is>
      </c>
      <c r="H2" s="48" t="inlineStr">
        <is>
          <t>Yes</t>
        </is>
      </c>
      <c r="I2" s="48" t="inlineStr">
        <is>
          <t>Yes</t>
        </is>
      </c>
      <c r="J2" s="48" t="inlineStr">
        <is>
          <t>Approximately 59 years old as of a 2020 profile (would be approximately 65 in 2026)</t>
        </is>
      </c>
      <c r="K2" s="49" t="n">
        <v>105</v>
      </c>
      <c r="L2" s="48" t="inlineStr">
        <is>
          <t>New</t>
        </is>
      </c>
      <c r="M2" s="50" t="n">
        <v>46218</v>
      </c>
      <c r="N2" s="50" t="n">
        <v>46218</v>
      </c>
    </row>
    <row r="3">
      <c r="A3" s="48" t="inlineStr">
        <is>
          <t>Monterey Boats (Marine Industries of Florida)</t>
        </is>
      </c>
      <c r="B3" s="48" t="inlineStr">
        <is>
          <t>FL</t>
        </is>
      </c>
      <c r="C3" s="48" t="inlineStr">
        <is>
          <t>Marine / Boat Manufacturing</t>
        </is>
      </c>
      <c r="D3" s="48" t="inlineStr">
        <is>
          <t>Private</t>
        </is>
      </c>
      <c r="E3" s="48" t="inlineStr">
        <is>
          <t>1985</t>
        </is>
      </c>
      <c r="F3" s="48" t="n">
        <v>41</v>
      </c>
      <c r="G3" s="48" t="inlineStr">
        <is>
          <t>Charles Marshall and Jeff Marshall</t>
        </is>
      </c>
      <c r="H3" s="48" t="inlineStr">
        <is>
          <t>Yes</t>
        </is>
      </c>
      <c r="I3" s="48" t="inlineStr">
        <is>
          <t>Yes</t>
        </is>
      </c>
      <c r="J3" s="48" t="inlineStr">
        <is>
          <t>Unknown</t>
        </is>
      </c>
      <c r="K3" s="49" t="n">
        <v>100</v>
      </c>
      <c r="L3" s="48" t="inlineStr">
        <is>
          <t>New</t>
        </is>
      </c>
      <c r="M3" s="50" t="n">
        <v>46218</v>
      </c>
      <c r="N3" s="50" t="n">
        <v>46218</v>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0" customWidth="1" min="3" max="3"/>
    <col width="10" customWidth="1" min="4" max="4"/>
    <col width="55" customWidth="1" min="5" max="5"/>
    <col width="55" customWidth="1" min="6" max="6"/>
    <col width="45" customWidth="1" min="7" max="7"/>
    <col width="14" customWidth="1" min="8" max="8"/>
    <col width="35" customWidth="1" min="9" max="9"/>
    <col hidden="1" min="10" max="10"/>
  </cols>
  <sheetData>
    <row r="1">
      <c r="A1" s="47" t="inlineStr">
        <is>
          <t>Rank</t>
        </is>
      </c>
      <c r="B1" s="47" t="inlineStr">
        <is>
          <t>Company Name</t>
        </is>
      </c>
      <c r="C1" s="47" t="inlineStr">
        <is>
          <t>Score</t>
        </is>
      </c>
      <c r="D1" s="47" t="inlineStr">
        <is>
          <t>State</t>
        </is>
      </c>
      <c r="E1" s="47" t="inlineStr">
        <is>
          <t>Why Selected</t>
        </is>
      </c>
      <c r="F1" s="47" t="inlineStr">
        <is>
          <t>Evidence Summary</t>
        </is>
      </c>
      <c r="G1" s="47" t="inlineStr">
        <is>
          <t>One-line Reason</t>
        </is>
      </c>
      <c r="H1" s="47" t="inlineStr">
        <is>
          <t>Feedback</t>
        </is>
      </c>
      <c r="I1" s="47" t="inlineStr">
        <is>
          <t>Notes</t>
        </is>
      </c>
      <c r="J1" s="47" t="inlineStr">
        <is>
          <t>_candidate_id</t>
        </is>
      </c>
    </row>
    <row r="2" ht="90" customHeight="1">
      <c r="A2" s="51" t="n">
        <v>1</v>
      </c>
      <c r="B2" s="52" t="inlineStr">
        <is>
          <t>Charles Clayton Construction</t>
        </is>
      </c>
      <c r="C2" s="53" t="n">
        <v>105</v>
      </c>
      <c r="D2" s="52" t="inlineStr">
        <is>
          <t>FL</t>
        </is>
      </c>
      <c r="E2" s="52" t="inlineStr">
        <is>
          <t>Charles Clayton Construction is a founder-led, family-owned custom homebuilder with 32 years in business, positioning it as a mature operation with an established reputation in Central Florida and coastal Volusia County. Founder Charlie Clayton III is approximately 65 years old as of 2026, suggesting potential succession or retirement considerations may be approaching. The company's high seller readiness score (105) further supports its candidacy as an acquisition target.</t>
        </is>
      </c>
      <c r="F2" s="52" t="inlineStr">
        <is>
          <t>BBB confirms the business was incorporated in 1994 with 32 years in business, led by Charles Clayton (President) and Lisa Clayton (VP), while a 2020 profile notes Clayton was 59 at the time and comes from a multi-generational family building tradition dating to the 1950s. The company operates from two Florida offices and builds custom homes ranging from $850,000 to $10 million.</t>
        </is>
      </c>
      <c r="G2" s="52" t="inlineStr">
        <is>
          <t>Founder-led Florida custom homebuilder, ~32 years in business, founder nearing retirement age.</t>
        </is>
      </c>
      <c r="H2" s="52" t="inlineStr">
        <is>
          <t>New</t>
        </is>
      </c>
      <c r="I2" s="52" t="inlineStr"/>
      <c r="J2" s="52" t="n">
        <v>3</v>
      </c>
    </row>
    <row r="3" ht="90" customHeight="1">
      <c r="A3" s="51" t="n">
        <v>2</v>
      </c>
      <c r="B3" s="52" t="inlineStr">
        <is>
          <t>Monterey Boats (Marine Industries of Florida)</t>
        </is>
      </c>
      <c r="C3" s="53" t="n">
        <v>100</v>
      </c>
      <c r="D3" s="52" t="inlineStr">
        <is>
          <t>FL</t>
        </is>
      </c>
      <c r="E3" s="52" t="inlineStr">
        <is>
          <t>Monterey Boats is a 41-year-old, founder-led and family-owned marine manufacturer with a top Seller Readiness Score of 100, suggesting strong succession or exit potential typical of long-tenured founder businesses. Its scale—over 600 employees, 500,000 sq ft of manufacturing space, and an estimated $83M in annual revenue—indicates a substantial, established operation attractive to acquirers. The founders' ages are unknown, but the company's longevity and continued founder involvement since 1985 suggest a potential generational transition point.</t>
        </is>
      </c>
      <c r="F3" s="52" t="inlineStr">
        <is>
          <t>Evidence shows Monterey Boats was founded in 1985 by brothers Charles and Jeff Marshall, who remain Co-Chairmen, and the company is described as one of the few marine manufacturers still family-owned and run by original founders; Kona Equity estimates $83M in annual revenue and 500 employees, with the company citing over 600 builders and 40,000+ boats produced generating $2.4B in sales.</t>
        </is>
      </c>
      <c r="G3" s="52" t="inlineStr">
        <is>
          <t>41-year-old founder-led, family-owned boat maker with $83M revenue and top seller-readiness score.</t>
        </is>
      </c>
      <c r="H3" s="52" t="inlineStr">
        <is>
          <t>New</t>
        </is>
      </c>
      <c r="I3" s="52" t="inlineStr"/>
      <c r="J3" s="52" t="n">
        <v>2</v>
      </c>
    </row>
  </sheetData>
  <dataValidations count="1">
    <dataValidation sqref="H2 H3" showDropDown="0" showInputMessage="0" showErrorMessage="0" allowBlank="1" type="list">
      <formula1>"New,Pursuing,Passed,Bad Data"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2026-07-15T15:55:47Z</dcterms:created>
  <dcterms:modified xmlns:dcterms="http://purl.org/dc/terms/" xmlns:xsi="http://www.w3.org/2001/XMLSchema-instance" xsi:type="dcterms:W3CDTF">2026-07-15T15:55:47Z</dcterms:modified>
</cp:coreProperties>
</file>