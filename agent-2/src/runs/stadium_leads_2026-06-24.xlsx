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rkar-my.sharepoint.com/personal/aranjan_parkar_in/Documents/Desktop/redpinefinal/redpine-agents/agent-2/src/runs/"/>
    </mc:Choice>
  </mc:AlternateContent>
  <xr:revisionPtr revIDLastSave="0" documentId="14_{394D7882-1CF3-40DC-A482-E1563ACF31B6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Dashboard" sheetId="1" r:id="rId1"/>
    <sheet name="Venue Database" sheetId="2" r:id="rId2"/>
    <sheet name="All Leads" sheetId="3" r:id="rId3"/>
    <sheet name="Act Now" sheetId="4" r:id="rId4"/>
    <sheet name="Stakeholders" sheetId="5" r:id="rId5"/>
    <sheet name="Tuning Review" sheetId="6" r:id="rId6"/>
  </sheets>
  <definedNames>
    <definedName name="_xlnm._FilterDatabase" localSheetId="3" hidden="1">'Act Now'!$A$1:$S$1</definedName>
    <definedName name="_xlnm._FilterDatabase" localSheetId="2" hidden="1">'All Leads'!$A$1:$S$1</definedName>
    <definedName name="_xlnm._FilterDatabase" localSheetId="4" hidden="1">Stakeholders!$A$1:$L$1</definedName>
    <definedName name="_xlnm._FilterDatabase" localSheetId="5" hidden="1">'Tuning Review'!$A$1:$G$1</definedName>
    <definedName name="_xlnm._FilterDatabase" localSheetId="1" hidden="1">'Venue Database'!$A$1:$K$1</definedName>
  </definedNames>
  <calcPr calcId="0"/>
  <fileRecoveryPr repairLoad="1"/>
</workbook>
</file>

<file path=xl/sharedStrings.xml><?xml version="1.0" encoding="utf-8"?>
<sst xmlns="http://schemas.openxmlformats.org/spreadsheetml/2006/main" count="2316" uniqueCount="1088">
  <si>
    <t>STADIUM CONSTRUCTION LEAD GEN DASHBOARD</t>
  </si>
  <si>
    <t>Data as of:</t>
  </si>
  <si>
    <t>Jun 24, 2026</t>
  </si>
  <si>
    <t>NFL
45</t>
  </si>
  <si>
    <t>NCAA
74</t>
  </si>
  <si>
    <t>NBA
8</t>
  </si>
  <si>
    <t>MLB
8</t>
  </si>
  <si>
    <t>NHL
2</t>
  </si>
  <si>
    <t>Tier 1
22</t>
  </si>
  <si>
    <t>Tier 2
18</t>
  </si>
  <si>
    <t>Tier 3
10</t>
  </si>
  <si>
    <t>Tier 4
22</t>
  </si>
  <si>
    <t>CONV.
0</t>
  </si>
  <si>
    <t>📋  All
Leads ↗</t>
  </si>
  <si>
    <t>Tier 1</t>
  </si>
  <si>
    <t>Act Now</t>
  </si>
  <si>
    <t>NCAA</t>
  </si>
  <si>
    <t>Wk-8</t>
  </si>
  <si>
    <t>News</t>
  </si>
  <si>
    <t>Real-time intelligence on stadium, arena &amp; convention center</t>
  </si>
  <si>
    <t>Tier 2</t>
  </si>
  <si>
    <t>Monitor</t>
  </si>
  <si>
    <t>NFL</t>
  </si>
  <si>
    <t>Wk-7</t>
  </si>
  <si>
    <t>Government</t>
  </si>
  <si>
    <t>Tier 3</t>
  </si>
  <si>
    <t>Too Late</t>
  </si>
  <si>
    <t>MLB</t>
  </si>
  <si>
    <t>Wk-6</t>
  </si>
  <si>
    <t>Tier 4</t>
  </si>
  <si>
    <t>NBA</t>
  </si>
  <si>
    <t>Wk-5</t>
  </si>
  <si>
    <t>📡  TOTAL SIGNALS</t>
  </si>
  <si>
    <t>🚩  TIER 1 SIGNALS</t>
  </si>
  <si>
    <t>🎯  ACT NOW LEADS</t>
  </si>
  <si>
    <t>📊  MONITOR LEADS</t>
  </si>
  <si>
    <t>🏢  FIRMS IDENTIFIED</t>
  </si>
  <si>
    <t>🏟  ACTIVE PROJECTS*</t>
  </si>
  <si>
    <t>NHL</t>
  </si>
  <si>
    <t>Wk-4</t>
  </si>
  <si>
    <t>Wk-3</t>
  </si>
  <si>
    <t>Wk-2</t>
  </si>
  <si>
    <t>▲ 100% vs prior 30 days</t>
  </si>
  <si>
    <t>▲ 10% vs prior 30 days</t>
  </si>
  <si>
    <t>▲ 5% vs prior 30 days</t>
  </si>
  <si>
    <t>* Projects classified as Act Now or Monitor</t>
  </si>
  <si>
    <t>Wk-1</t>
  </si>
  <si>
    <t>TOP 10 ACT NOW LEADS</t>
  </si>
  <si>
    <t>ALL LEADS (TOP 15)</t>
  </si>
  <si>
    <t>ADDITIONAL LEADS (16-23)</t>
  </si>
  <si>
    <t>#</t>
  </si>
  <si>
    <t>Venue / Project</t>
  </si>
  <si>
    <t>City, State</t>
  </si>
  <si>
    <t>Tier</t>
  </si>
  <si>
    <t>Score</t>
  </si>
  <si>
    <t>League</t>
  </si>
  <si>
    <t>Engagement</t>
  </si>
  <si>
    <t>Date</t>
  </si>
  <si>
    <t>Sanford Stadium</t>
  </si>
  <si>
    <t>Athens, GA</t>
  </si>
  <si>
    <t>Empower Field at Mile Hi</t>
  </si>
  <si>
    <t>2026-06-23</t>
  </si>
  <si>
    <t>New Spurs Arena</t>
  </si>
  <si>
    <t>Chicago Bears Stadium</t>
  </si>
  <si>
    <t>Hammond, IN</t>
  </si>
  <si>
    <t>Tiger Stadium</t>
  </si>
  <si>
    <t>Kyle Field</t>
  </si>
  <si>
    <t>San Antonio, TX</t>
  </si>
  <si>
    <t>Neyland Stadium</t>
  </si>
  <si>
    <t>New Rays Stadium†</t>
  </si>
  <si>
    <t>Williams–Brice Stadium</t>
  </si>
  <si>
    <t>New Royals Stadium</t>
  </si>
  <si>
    <t>New Plano Arena</t>
  </si>
  <si>
    <t>Gies Memorial Stadium</t>
  </si>
  <si>
    <t>2026-06-24</t>
  </si>
  <si>
    <t>New Aloha Stadium</t>
  </si>
  <si>
    <t>New Dallas Arena</t>
  </si>
  <si>
    <t>Gaylord Family Oklahom</t>
  </si>
  <si>
    <t>New White Sox Stadium</t>
  </si>
  <si>
    <t>Future South Florida o</t>
  </si>
  <si>
    <t>New Chiefs Stadium</t>
  </si>
  <si>
    <t>New South Philadelphia A</t>
  </si>
  <si>
    <t>KEY INSIGHTS (LAST 30 DAYS)</t>
  </si>
  <si>
    <t>California Memorial Stad</t>
  </si>
  <si>
    <t>✓  Tier 1 signals: 11 detected in last 30 days.</t>
  </si>
  <si>
    <t>Notre Dame Stadium</t>
  </si>
  <si>
    <t>✓  3 high-priority (Act Now) leads identified.</t>
  </si>
  <si>
    <t>Jack Trice Stadium</t>
  </si>
  <si>
    <t>✓  NCAA has the highest signal volume (74).</t>
  </si>
  <si>
    <t>Darrell K Royal–Texas Me</t>
  </si>
  <si>
    <t>✓  25 active projects (Act Now + Monitor) tracked.</t>
  </si>
  <si>
    <t>✓  0 unique firms identified across all leads.</t>
  </si>
  <si>
    <t>Venue Name</t>
  </si>
  <si>
    <t>Team</t>
  </si>
  <si>
    <t>City</t>
  </si>
  <si>
    <t>State</t>
  </si>
  <si>
    <t>Capacity</t>
  </si>
  <si>
    <t>Year Built / Planned</t>
  </si>
  <si>
    <t>Status</t>
  </si>
  <si>
    <t>Owner</t>
  </si>
  <si>
    <t>Operator</t>
  </si>
  <si>
    <t>Facilities Contact</t>
  </si>
  <si>
    <t>American Airlines Center</t>
  </si>
  <si>
    <t>Dallas Mavericks</t>
  </si>
  <si>
    <t>Dallas</t>
  </si>
  <si>
    <t>TX</t>
  </si>
  <si>
    <t>2001</t>
  </si>
  <si>
    <t>existing</t>
  </si>
  <si>
    <t>Center Operating Company, L.P. (a joint venture between the Dallas Mavericks and Dallas Stars)</t>
  </si>
  <si>
    <t>Ball Arena</t>
  </si>
  <si>
    <t>Denver Nuggets</t>
  </si>
  <si>
    <t>Denver</t>
  </si>
  <si>
    <t>CO</t>
  </si>
  <si>
    <t>1999</t>
  </si>
  <si>
    <t>Barclays Center</t>
  </si>
  <si>
    <t>Brooklyn Nets</t>
  </si>
  <si>
    <t>Brooklyn</t>
  </si>
  <si>
    <t>NY</t>
  </si>
  <si>
    <t>2012</t>
  </si>
  <si>
    <t>BSE Global / ASM Global</t>
  </si>
  <si>
    <t>Capital One Arena</t>
  </si>
  <si>
    <t>Washington Wizards</t>
  </si>
  <si>
    <t>Washington</t>
  </si>
  <si>
    <t>DC</t>
  </si>
  <si>
    <t>1997</t>
  </si>
  <si>
    <t>Chase Center</t>
  </si>
  <si>
    <t>Golden State Warriors</t>
  </si>
  <si>
    <t>San Francisco</t>
  </si>
  <si>
    <t>CA</t>
  </si>
  <si>
    <t>2019</t>
  </si>
  <si>
    <t>Crypto.com Arena</t>
  </si>
  <si>
    <t>Los Angeles Lakers</t>
  </si>
  <si>
    <t>Los Angeles</t>
  </si>
  <si>
    <t>Delta Center</t>
  </si>
  <si>
    <t>Utah Jazz</t>
  </si>
  <si>
    <t>Salt Lake City</t>
  </si>
  <si>
    <t>UT</t>
  </si>
  <si>
    <t>1991</t>
  </si>
  <si>
    <t>Smith Entertainment Group</t>
  </si>
  <si>
    <t>FedExForum</t>
  </si>
  <si>
    <t>Memphis Grizzlies</t>
  </si>
  <si>
    <t>Memphis</t>
  </si>
  <si>
    <t>TN</t>
  </si>
  <si>
    <t>2004</t>
  </si>
  <si>
    <t>Memphis Basketball, LLC</t>
  </si>
  <si>
    <t>Fiserv Forum</t>
  </si>
  <si>
    <t>Milwaukee Bucks</t>
  </si>
  <si>
    <t>Milwaukee</t>
  </si>
  <si>
    <t>WI</t>
  </si>
  <si>
    <t>2018</t>
  </si>
  <si>
    <t>Frost Bank Center</t>
  </si>
  <si>
    <t>San Antonio Spurs</t>
  </si>
  <si>
    <t>San Antonio</t>
  </si>
  <si>
    <t>2002</t>
  </si>
  <si>
    <t>Spurs Sports &amp; Entertainment</t>
  </si>
  <si>
    <t>Gainbridge Fieldhouse</t>
  </si>
  <si>
    <t>Indiana Pacers</t>
  </si>
  <si>
    <t>Indianapolis</t>
  </si>
  <si>
    <t>IN</t>
  </si>
  <si>
    <t>Capital Improvement Board of Managers of Marion County, Indiana</t>
  </si>
  <si>
    <t>Golden 1 Center</t>
  </si>
  <si>
    <t>Sacramento Kings</t>
  </si>
  <si>
    <t>Sacramento</t>
  </si>
  <si>
    <t>2016</t>
  </si>
  <si>
    <t>Sacramento Kings LP, LLC</t>
  </si>
  <si>
    <t>Intuit Dome</t>
  </si>
  <si>
    <t>Los Angeles Clippers</t>
  </si>
  <si>
    <t>Inglewood</t>
  </si>
  <si>
    <t>2024</t>
  </si>
  <si>
    <t>Kaseya Center</t>
  </si>
  <si>
    <t>Miami Heat</t>
  </si>
  <si>
    <t>Miami</t>
  </si>
  <si>
    <t>FL</t>
  </si>
  <si>
    <t>Basketball Properties Ltd.</t>
  </si>
  <si>
    <t>Kia Center</t>
  </si>
  <si>
    <t>Orlando Magic</t>
  </si>
  <si>
    <t>Orlando</t>
  </si>
  <si>
    <t>2010</t>
  </si>
  <si>
    <t>Orlando Venues</t>
  </si>
  <si>
    <t>Little Caesars Arena</t>
  </si>
  <si>
    <t>Detroit Pistons</t>
  </si>
  <si>
    <t>Detroit</t>
  </si>
  <si>
    <t>MI</t>
  </si>
  <si>
    <t>2017</t>
  </si>
  <si>
    <t>313 Presents</t>
  </si>
  <si>
    <t>Madison Square Garden</t>
  </si>
  <si>
    <t>New York Knicks</t>
  </si>
  <si>
    <t>New York</t>
  </si>
  <si>
    <t>1968</t>
  </si>
  <si>
    <t>Moda Center</t>
  </si>
  <si>
    <t>Portland Trail Blazers</t>
  </si>
  <si>
    <t>Portland</t>
  </si>
  <si>
    <t>OR</t>
  </si>
  <si>
    <t>1995</t>
  </si>
  <si>
    <t>Rip City Management</t>
  </si>
  <si>
    <t>Mortgage Matchup Center</t>
  </si>
  <si>
    <t>Phoenix Suns</t>
  </si>
  <si>
    <t>Phoenix</t>
  </si>
  <si>
    <t>AZ</t>
  </si>
  <si>
    <t>1992</t>
  </si>
  <si>
    <t>Phoenix Arena Development, L.P. ( Phoenix Suns )</t>
  </si>
  <si>
    <t>Paycom Center</t>
  </si>
  <si>
    <t>Oklahoma City Thunder</t>
  </si>
  <si>
    <t>Oklahoma City</t>
  </si>
  <si>
    <t>OK</t>
  </si>
  <si>
    <t>ASM Global</t>
  </si>
  <si>
    <t>Rocket Arena</t>
  </si>
  <si>
    <t>Cleveland Cavaliers</t>
  </si>
  <si>
    <t>Cleveland</t>
  </si>
  <si>
    <t>OH</t>
  </si>
  <si>
    <t>1994</t>
  </si>
  <si>
    <t>Dan Gilbert via Rocket Companies</t>
  </si>
  <si>
    <t>Smoothie King Center</t>
  </si>
  <si>
    <t>New Orleans Pelicans</t>
  </si>
  <si>
    <t>New Orleans</t>
  </si>
  <si>
    <t>LA</t>
  </si>
  <si>
    <t>Spectrum Center</t>
  </si>
  <si>
    <t>Charlotte Hornets</t>
  </si>
  <si>
    <t>Charlotte</t>
  </si>
  <si>
    <t>NC</t>
  </si>
  <si>
    <t>2005</t>
  </si>
  <si>
    <t>Hornets Sports &amp; Entertainment</t>
  </si>
  <si>
    <t>State Farm Arena</t>
  </si>
  <si>
    <t>Atlanta Hawks</t>
  </si>
  <si>
    <t>Atlanta</t>
  </si>
  <si>
    <t>GA</t>
  </si>
  <si>
    <t>Target Center</t>
  </si>
  <si>
    <t>Minnesota Timberwolves</t>
  </si>
  <si>
    <t>Minneapolis</t>
  </si>
  <si>
    <t>MN</t>
  </si>
  <si>
    <t>1990</t>
  </si>
  <si>
    <t>Legends Global</t>
  </si>
  <si>
    <t>TD Garden</t>
  </si>
  <si>
    <t>Boston Celtics</t>
  </si>
  <si>
    <t>Boston</t>
  </si>
  <si>
    <t>MA</t>
  </si>
  <si>
    <t>Delaware North</t>
  </si>
  <si>
    <t>Toyota Center</t>
  </si>
  <si>
    <t>Houston Rockets</t>
  </si>
  <si>
    <t>Houston</t>
  </si>
  <si>
    <t>2003</t>
  </si>
  <si>
    <t>Clutch City Sports and Entertainment</t>
  </si>
  <si>
    <t>United Center</t>
  </si>
  <si>
    <t>Chicago Bulls</t>
  </si>
  <si>
    <t>Chicago</t>
  </si>
  <si>
    <t>IL</t>
  </si>
  <si>
    <t>United Center Joint Venture</t>
  </si>
  <si>
    <t>Xfinity Mobile Arena</t>
  </si>
  <si>
    <t>Philadelphia 76ers</t>
  </si>
  <si>
    <t>Philadelphia</t>
  </si>
  <si>
    <t>PA</t>
  </si>
  <si>
    <t>1996</t>
  </si>
  <si>
    <t>OVG360</t>
  </si>
  <si>
    <t>Acrisure Stadium</t>
  </si>
  <si>
    <t>Pittsburgh Steelers</t>
  </si>
  <si>
    <t>Pittsburgh</t>
  </si>
  <si>
    <t>Pittsburgh Steelers University of Pittsburgh</t>
  </si>
  <si>
    <t>Allegiant Stadium</t>
  </si>
  <si>
    <t>Las Vegas Raiders</t>
  </si>
  <si>
    <t>Paradise</t>
  </si>
  <si>
    <t>NV</t>
  </si>
  <si>
    <t>2020</t>
  </si>
  <si>
    <t>AEG Facilities</t>
  </si>
  <si>
    <t>Arrowhead Stadium</t>
  </si>
  <si>
    <t>Kansas City Chiefs</t>
  </si>
  <si>
    <t>Kansas City</t>
  </si>
  <si>
    <t>MO</t>
  </si>
  <si>
    <t>1972</t>
  </si>
  <si>
    <t>Kansas City Chiefs 1972–2030</t>
  </si>
  <si>
    <t>AT&amp;T Stadium</t>
  </si>
  <si>
    <t>Dallas Cowboys</t>
  </si>
  <si>
    <t>Arlington</t>
  </si>
  <si>
    <t>2009</t>
  </si>
  <si>
    <t>Bank of America Stadium</t>
  </si>
  <si>
    <t>Carolina Panthers</t>
  </si>
  <si>
    <t>Tepper Sports and Entertainment</t>
  </si>
  <si>
    <t>Caesars Superdome</t>
  </si>
  <si>
    <t>New Orleans Saints</t>
  </si>
  <si>
    <t>1975</t>
  </si>
  <si>
    <t>Empower Field at Mile High</t>
  </si>
  <si>
    <t>Denver Broncos</t>
  </si>
  <si>
    <t>EverBank Stadium</t>
  </si>
  <si>
    <t>Jacksonville Jaguars</t>
  </si>
  <si>
    <t>Jacksonville</t>
  </si>
  <si>
    <t>Ford Field</t>
  </si>
  <si>
    <t>Detroit Lions</t>
  </si>
  <si>
    <t>Gillette Stadium</t>
  </si>
  <si>
    <t>New England Patriots</t>
  </si>
  <si>
    <t>Foxborough</t>
  </si>
  <si>
    <t>Kraft Group</t>
  </si>
  <si>
    <t>Hard Rock Stadium</t>
  </si>
  <si>
    <t>Miami Dolphins</t>
  </si>
  <si>
    <t>Miami Gardens</t>
  </si>
  <si>
    <t>1987</t>
  </si>
  <si>
    <t>Highmark Stadium</t>
  </si>
  <si>
    <t>Buffalo Bills</t>
  </si>
  <si>
    <t>Orchard Park</t>
  </si>
  <si>
    <t>2026</t>
  </si>
  <si>
    <t>Legends Hospitality</t>
  </si>
  <si>
    <t>Huntington Bank Field</t>
  </si>
  <si>
    <t>Cleveland Browns</t>
  </si>
  <si>
    <t>Lambeau Field</t>
  </si>
  <si>
    <t>Green Bay Packers</t>
  </si>
  <si>
    <t>Green Bay</t>
  </si>
  <si>
    <t>1957</t>
  </si>
  <si>
    <t>Levi's Stadium</t>
  </si>
  <si>
    <t>San Francisco 49ers</t>
  </si>
  <si>
    <t>Santa Clara</t>
  </si>
  <si>
    <t>2014</t>
  </si>
  <si>
    <t>Forty Niners Football Company LLC</t>
  </si>
  <si>
    <t>Lincoln Financial Field</t>
  </si>
  <si>
    <t>Philadelphia Eagles</t>
  </si>
  <si>
    <t>Lucas Oil Stadium</t>
  </si>
  <si>
    <t>Indianapolis Colts</t>
  </si>
  <si>
    <t>2008</t>
  </si>
  <si>
    <t>Lumen Field</t>
  </si>
  <si>
    <t>Seattle Seahawks</t>
  </si>
  <si>
    <t>Seattle</t>
  </si>
  <si>
    <t>WA</t>
  </si>
  <si>
    <t>First &amp; Goal Inc.</t>
  </si>
  <si>
    <t>M&amp;T Bank Stadium</t>
  </si>
  <si>
    <t>Baltimore Ravens</t>
  </si>
  <si>
    <t>Baltimore</t>
  </si>
  <si>
    <t>MD</t>
  </si>
  <si>
    <t>1998</t>
  </si>
  <si>
    <t>Mercedes-Benz Stadium</t>
  </si>
  <si>
    <t>Atlanta Falcons</t>
  </si>
  <si>
    <t>AMB Sports and Entertainment Group</t>
  </si>
  <si>
    <t>MetLife Stadium</t>
  </si>
  <si>
    <t>New York Giants New York Jets</t>
  </si>
  <si>
    <t>East Rutherford</t>
  </si>
  <si>
    <t>NJ</t>
  </si>
  <si>
    <t>New Meadowlands Stadium Company, LLC</t>
  </si>
  <si>
    <t>Nissan Stadium</t>
  </si>
  <si>
    <t>Tennessee Titans</t>
  </si>
  <si>
    <t>Nashville</t>
  </si>
  <si>
    <t>Northwest Stadium</t>
  </si>
  <si>
    <t>Washington Commanders</t>
  </si>
  <si>
    <t>Landover</t>
  </si>
  <si>
    <t>Harris Blitzer Sports &amp; Entertainment</t>
  </si>
  <si>
    <t>NRG Stadium</t>
  </si>
  <si>
    <t>Houston Texans</t>
  </si>
  <si>
    <t>Paycor Stadium</t>
  </si>
  <si>
    <t>Cincinnati Bengals</t>
  </si>
  <si>
    <t>Cincinnati</t>
  </si>
  <si>
    <t>2000</t>
  </si>
  <si>
    <t>Raymond James Stadium</t>
  </si>
  <si>
    <t>Tampa Bay Buccaneers</t>
  </si>
  <si>
    <t>Tampa</t>
  </si>
  <si>
    <t>Tampa Sports Authority</t>
  </si>
  <si>
    <t>SoFi Stadium</t>
  </si>
  <si>
    <t>Los Angeles Rams Los Angeles Chargers</t>
  </si>
  <si>
    <t>StadCo LA</t>
  </si>
  <si>
    <t>Soldier Field</t>
  </si>
  <si>
    <t>Chicago Bears</t>
  </si>
  <si>
    <t>1924</t>
  </si>
  <si>
    <t>State Farm Stadium</t>
  </si>
  <si>
    <t>Arizona Cardinals</t>
  </si>
  <si>
    <t>Glendale</t>
  </si>
  <si>
    <t>2006</t>
  </si>
  <si>
    <t>U.S. Bank Stadium</t>
  </si>
  <si>
    <t>Minnesota Vikings</t>
  </si>
  <si>
    <t>American Family Field‡</t>
  </si>
  <si>
    <t>Milwaukee Brewers</t>
  </si>
  <si>
    <t>Angel Stadium</t>
  </si>
  <si>
    <t>Los Angeles Angels</t>
  </si>
  <si>
    <t>Anaheim</t>
  </si>
  <si>
    <t>1966</t>
  </si>
  <si>
    <t>Angels Baseball LP</t>
  </si>
  <si>
    <t>Busch Stadium</t>
  </si>
  <si>
    <t>St. Louis Cardinals</t>
  </si>
  <si>
    <t>St. Louis</t>
  </si>
  <si>
    <t>Chase Field‡</t>
  </si>
  <si>
    <t>Arizona Diamondbacks</t>
  </si>
  <si>
    <t>Citi Field</t>
  </si>
  <si>
    <t>New York Mets</t>
  </si>
  <si>
    <t>Queens</t>
  </si>
  <si>
    <t>Citizens Bank Park</t>
  </si>
  <si>
    <t>Philadelphia Phillies</t>
  </si>
  <si>
    <t>Global Spectrum  [ needs update? ]</t>
  </si>
  <si>
    <t>Comerica Park</t>
  </si>
  <si>
    <t>Detroit Tigers</t>
  </si>
  <si>
    <t>Coors Field</t>
  </si>
  <si>
    <t>Colorado Rockies</t>
  </si>
  <si>
    <t>Colorado Rockies Baseball Club Ltd.</t>
  </si>
  <si>
    <t>Daikin Park‡</t>
  </si>
  <si>
    <t>Houston Astros</t>
  </si>
  <si>
    <t>Dodger Stadium</t>
  </si>
  <si>
    <t>Los Angeles Dodgers[nb 3]</t>
  </si>
  <si>
    <t>1962</t>
  </si>
  <si>
    <t>Los Angeles Dodgers</t>
  </si>
  <si>
    <t>Fenway Park</t>
  </si>
  <si>
    <t>Boston Red Sox[nb 4]</t>
  </si>
  <si>
    <t>1912</t>
  </si>
  <si>
    <t>Fenway Sports Group / Boston Red Sox</t>
  </si>
  <si>
    <t>Globe Life Field‡</t>
  </si>
  <si>
    <t>Texas Rangers</t>
  </si>
  <si>
    <t>Great American Ball Park</t>
  </si>
  <si>
    <t>Cincinnati Reds</t>
  </si>
  <si>
    <t>Kauffman Stadium</t>
  </si>
  <si>
    <t>Kansas City Royals</t>
  </si>
  <si>
    <t>1973</t>
  </si>
  <si>
    <t>Jackson Sports Complex Authority</t>
  </si>
  <si>
    <t>LoanDepot Park‡</t>
  </si>
  <si>
    <t>Miami Marlins</t>
  </si>
  <si>
    <t>Nationals Park</t>
  </si>
  <si>
    <t>Washington Nationals</t>
  </si>
  <si>
    <t>Oracle Park</t>
  </si>
  <si>
    <t>San Francisco Giants</t>
  </si>
  <si>
    <t>San Francisco Baseball Associates LP</t>
  </si>
  <si>
    <t>Oriole Park at Camden Yards</t>
  </si>
  <si>
    <t>Baltimore Orioles</t>
  </si>
  <si>
    <t>Maryland Stadium Authority</t>
  </si>
  <si>
    <t>Petco Park</t>
  </si>
  <si>
    <t>San Diego Padres</t>
  </si>
  <si>
    <t>San Diego</t>
  </si>
  <si>
    <t>Padres LP</t>
  </si>
  <si>
    <t>PNC Park</t>
  </si>
  <si>
    <t>Pittsburgh Pirates</t>
  </si>
  <si>
    <t>Progressive Field</t>
  </si>
  <si>
    <t>Cleveland Guardians</t>
  </si>
  <si>
    <t>Gateway Economic Development Corporation</t>
  </si>
  <si>
    <t>Rate Field</t>
  </si>
  <si>
    <t>Chicago White Sox</t>
  </si>
  <si>
    <t>Illinois Sports Facilities Authority</t>
  </si>
  <si>
    <t>Sutter Health Park</t>
  </si>
  <si>
    <t>Athletics</t>
  </si>
  <si>
    <t>West Sacramento</t>
  </si>
  <si>
    <t>River City Stadium Management, LLC</t>
  </si>
  <si>
    <t>T-Mobile Park‡</t>
  </si>
  <si>
    <t>Seattle Mariners</t>
  </si>
  <si>
    <t>Target Field</t>
  </si>
  <si>
    <t>Minnesota Twins</t>
  </si>
  <si>
    <t>Twins Ballpark LLC</t>
  </si>
  <si>
    <t>Tropicana Field†</t>
  </si>
  <si>
    <t>Tampa Bay Rays</t>
  </si>
  <si>
    <t>St. Petersburg</t>
  </si>
  <si>
    <t>Truist Park</t>
  </si>
  <si>
    <t>Atlanta Braves</t>
  </si>
  <si>
    <t>Cumberland</t>
  </si>
  <si>
    <t>Atlanta National League Baseball Club Inc.</t>
  </si>
  <si>
    <t>Wrigley Field</t>
  </si>
  <si>
    <t>Chicago Cubs</t>
  </si>
  <si>
    <t>1914</t>
  </si>
  <si>
    <t>Yankee Stadium</t>
  </si>
  <si>
    <t>New York Yankees</t>
  </si>
  <si>
    <t>Bronx</t>
  </si>
  <si>
    <t>Yankee Stadium LLC</t>
  </si>
  <si>
    <t>Amerant Bank Arena</t>
  </si>
  <si>
    <t>Florida Panthers</t>
  </si>
  <si>
    <t>Sunrise</t>
  </si>
  <si>
    <t>Arena Operating Company, Ltd.</t>
  </si>
  <si>
    <t>Benchmark International Arena</t>
  </si>
  <si>
    <t>Tampa Bay Lightning</t>
  </si>
  <si>
    <t>Tampa Bay Entertainment Properties, LLC, a division of Vinik Sports Group, LLC</t>
  </si>
  <si>
    <t>Bridgestone Arena</t>
  </si>
  <si>
    <t>Nashville Predators</t>
  </si>
  <si>
    <t>Powers Management Company</t>
  </si>
  <si>
    <t>Climate Pledge Arena</t>
  </si>
  <si>
    <t>Seattle Kraken</t>
  </si>
  <si>
    <t>2021</t>
  </si>
  <si>
    <t>Oak View Group</t>
  </si>
  <si>
    <t>Enterprise Center</t>
  </si>
  <si>
    <t>St. Louis Blues</t>
  </si>
  <si>
    <t>SLB Acquisition Holdings LLC , GBC 996 Inc.</t>
  </si>
  <si>
    <t>Grand Casino Arena</t>
  </si>
  <si>
    <t>Minnesota Wild</t>
  </si>
  <si>
    <t>Saint Paul</t>
  </si>
  <si>
    <t>Minnesota Sports &amp; Entertainment</t>
  </si>
  <si>
    <t>Honda Center</t>
  </si>
  <si>
    <t>Anaheim Ducks</t>
  </si>
  <si>
    <t>1993</t>
  </si>
  <si>
    <t>Anaheim Arena Management</t>
  </si>
  <si>
    <t>KeyBank Center</t>
  </si>
  <si>
    <t>Buffalo Sabres</t>
  </si>
  <si>
    <t>Buffalo</t>
  </si>
  <si>
    <t>Lenovo Center</t>
  </si>
  <si>
    <t>Carolina Hurricanes</t>
  </si>
  <si>
    <t>Raleigh</t>
  </si>
  <si>
    <t>Hurricanes Holdings, LLC</t>
  </si>
  <si>
    <t>Nationwide Arena</t>
  </si>
  <si>
    <t>Columbus Blue Jackets</t>
  </si>
  <si>
    <t>Columbus</t>
  </si>
  <si>
    <t>Columbus Arena Management</t>
  </si>
  <si>
    <t>PPG Paints Arena</t>
  </si>
  <si>
    <t>Pittsburgh Penguins</t>
  </si>
  <si>
    <t>Anschutz Entertainment Group</t>
  </si>
  <si>
    <t>Prudential Center</t>
  </si>
  <si>
    <t>New Jersey Devils</t>
  </si>
  <si>
    <t>Newark</t>
  </si>
  <si>
    <t>2007</t>
  </si>
  <si>
    <t>Harris Blitzer Sports &amp; Entertainment (HBSE)</t>
  </si>
  <si>
    <t>SAP Center</t>
  </si>
  <si>
    <t>San Jose Sharks</t>
  </si>
  <si>
    <t>San Jose</t>
  </si>
  <si>
    <t>San Jose Sports &amp; Entertainment Enterprises</t>
  </si>
  <si>
    <t>T-Mobile Arena</t>
  </si>
  <si>
    <t>Vegas Golden Knights</t>
  </si>
  <si>
    <t>MGM Resorts International</t>
  </si>
  <si>
    <t>UBS Arena</t>
  </si>
  <si>
    <t>New York Islanders</t>
  </si>
  <si>
    <t>Elmont</t>
  </si>
  <si>
    <t>Aggie Memorial Stadium</t>
  </si>
  <si>
    <t>New Mexico State</t>
  </si>
  <si>
    <t>Las Cruces</t>
  </si>
  <si>
    <t>NM</t>
  </si>
  <si>
    <t>1978</t>
  </si>
  <si>
    <t>New Mexico State University</t>
  </si>
  <si>
    <t>Alaska Airlines Field at Husky Stadium</t>
  </si>
  <si>
    <t>1920</t>
  </si>
  <si>
    <t>University of Washington</t>
  </si>
  <si>
    <t>Albertsons Stadium</t>
  </si>
  <si>
    <t>Boise State</t>
  </si>
  <si>
    <t>Boise</t>
  </si>
  <si>
    <t>ID</t>
  </si>
  <si>
    <t>1970</t>
  </si>
  <si>
    <t>Boise State University</t>
  </si>
  <si>
    <t>Allegacy Federal Credit Union Stadium</t>
  </si>
  <si>
    <t>Wake Forest</t>
  </si>
  <si>
    <t>Winston-Salem</t>
  </si>
  <si>
    <t>Wake Forest University</t>
  </si>
  <si>
    <t>Allen E. Paulson Stadium</t>
  </si>
  <si>
    <t>Georgia Southern</t>
  </si>
  <si>
    <t>Statesboro</t>
  </si>
  <si>
    <t>1984</t>
  </si>
  <si>
    <t>Georgia Southern University</t>
  </si>
  <si>
    <t>Alumni Stadium</t>
  </si>
  <si>
    <t>Boston College</t>
  </si>
  <si>
    <t>Boston[e]</t>
  </si>
  <si>
    <t>Amon G. Carter Stadium</t>
  </si>
  <si>
    <t>TCU</t>
  </si>
  <si>
    <t>Fort Worth</t>
  </si>
  <si>
    <t>1929</t>
  </si>
  <si>
    <t>Texas Christian University</t>
  </si>
  <si>
    <t>Arthur L. Williams Stadium</t>
  </si>
  <si>
    <t>Liberty</t>
  </si>
  <si>
    <t>Lynchburg</t>
  </si>
  <si>
    <t>VA</t>
  </si>
  <si>
    <t>1989</t>
  </si>
  <si>
    <t>Autzen Stadium</t>
  </si>
  <si>
    <t>Oregon</t>
  </si>
  <si>
    <t>Eugene</t>
  </si>
  <si>
    <t>1967</t>
  </si>
  <si>
    <t>University of Oregon</t>
  </si>
  <si>
    <t>Bagwell Field at Dowdy–Ficklen Stadium</t>
  </si>
  <si>
    <t>East Carolina</t>
  </si>
  <si>
    <t>Greenville</t>
  </si>
  <si>
    <t>1963</t>
  </si>
  <si>
    <t>Beaver Stadium</t>
  </si>
  <si>
    <t>Penn State</t>
  </si>
  <si>
    <t>College Township[f]</t>
  </si>
  <si>
    <t>1959</t>
  </si>
  <si>
    <t>Pennsylvania State University</t>
  </si>
  <si>
    <t>Benson Field at Yulman Stadium</t>
  </si>
  <si>
    <t>Tulane</t>
  </si>
  <si>
    <t>Bill Snyder Family Football Stadium</t>
  </si>
  <si>
    <t>Kansas State</t>
  </si>
  <si>
    <t>Manhattan</t>
  </si>
  <si>
    <t>KS</t>
  </si>
  <si>
    <t>Kansas State University</t>
  </si>
  <si>
    <t>Blaik Field at Michie Stadium</t>
  </si>
  <si>
    <t>Army</t>
  </si>
  <si>
    <t>West Point</t>
  </si>
  <si>
    <t>U.S. Military Academy</t>
  </si>
  <si>
    <t>Bobby Bowden Field at Doak S. Campbell Stadium</t>
  </si>
  <si>
    <t>Florida State</t>
  </si>
  <si>
    <t>Tallahassee</t>
  </si>
  <si>
    <t>1950</t>
  </si>
  <si>
    <t>Florida State University Athletics</t>
  </si>
  <si>
    <t>Bobby Dodd Stadium at Hyundai Field</t>
  </si>
  <si>
    <t>Georgia Tech</t>
  </si>
  <si>
    <t>1913</t>
  </si>
  <si>
    <t>Georgia Institute of Technology</t>
  </si>
  <si>
    <t>Boone Pickens Stadium</t>
  </si>
  <si>
    <t>Oklahoma State</t>
  </si>
  <si>
    <t>Stillwater</t>
  </si>
  <si>
    <t>1919</t>
  </si>
  <si>
    <t>Oklahoma State University</t>
  </si>
  <si>
    <t>Bridgeforth Stadium</t>
  </si>
  <si>
    <t>James Madison</t>
  </si>
  <si>
    <t>Harrisonburg</t>
  </si>
  <si>
    <t>James Madison University</t>
  </si>
  <si>
    <t>Brigham Field at Huskie Stadium</t>
  </si>
  <si>
    <t>NIU</t>
  </si>
  <si>
    <t>DeKalb</t>
  </si>
  <si>
    <t>1965</t>
  </si>
  <si>
    <t>NIU Athletics</t>
  </si>
  <si>
    <t>Brooks Field at Wallace Wade Stadium</t>
  </si>
  <si>
    <t>Duke</t>
  </si>
  <si>
    <t>Durham</t>
  </si>
  <si>
    <t>Duke University</t>
  </si>
  <si>
    <t>Brooks Stadium</t>
  </si>
  <si>
    <t>Coastal Carolina</t>
  </si>
  <si>
    <t>Conway</t>
  </si>
  <si>
    <t>SC</t>
  </si>
  <si>
    <t>Coastal Carolina University</t>
  </si>
  <si>
    <t>Burgess–Snow Field at AmFirst Stadium</t>
  </si>
  <si>
    <t>Jacksonville State</t>
  </si>
  <si>
    <t>AL</t>
  </si>
  <si>
    <t>1947</t>
  </si>
  <si>
    <t>Cajun Field</t>
  </si>
  <si>
    <t>Louisiana</t>
  </si>
  <si>
    <t>Lafayette</t>
  </si>
  <si>
    <t>1971</t>
  </si>
  <si>
    <t>University of Louisiana at Lafayette</t>
  </si>
  <si>
    <t>California Memorial Stadium</t>
  </si>
  <si>
    <t>California</t>
  </si>
  <si>
    <t>Berkeley</t>
  </si>
  <si>
    <t>1923</t>
  </si>
  <si>
    <t>University of California</t>
  </si>
  <si>
    <t>Camp Randall Stadium</t>
  </si>
  <si>
    <t>Wisconsin</t>
  </si>
  <si>
    <t>Madison</t>
  </si>
  <si>
    <t>1917</t>
  </si>
  <si>
    <t>University of Wisconsin–Madison</t>
  </si>
  <si>
    <t>Carl Smith Center, Home of David A. Harrison III Field at Scott Stadium</t>
  </si>
  <si>
    <t>Virginia</t>
  </si>
  <si>
    <t>Charlottesville[g]</t>
  </si>
  <si>
    <t>1931</t>
  </si>
  <si>
    <t>Carlisle-Faulkner Field at M.M. Roberts Stadium</t>
  </si>
  <si>
    <t>Southern Miss</t>
  </si>
  <si>
    <t>Hattiesburg</t>
  </si>
  <si>
    <t>MS</t>
  </si>
  <si>
    <t>1932</t>
  </si>
  <si>
    <t>Casino Del Sol Stadium</t>
  </si>
  <si>
    <t>Arizona</t>
  </si>
  <si>
    <t>Tucson</t>
  </si>
  <si>
    <t>1928</t>
  </si>
  <si>
    <t>University of Arizona</t>
  </si>
  <si>
    <t>CEFCU Stadium</t>
  </si>
  <si>
    <t>San Jose State</t>
  </si>
  <si>
    <t>1933</t>
  </si>
  <si>
    <t>San Jose State University</t>
  </si>
  <si>
    <t>Centennial Bank Stadium</t>
  </si>
  <si>
    <t>Arkansas State</t>
  </si>
  <si>
    <t>Jonesboro</t>
  </si>
  <si>
    <t>AR</t>
  </si>
  <si>
    <t>1974</t>
  </si>
  <si>
    <t>Arkansas State University</t>
  </si>
  <si>
    <t>Center Parc Stadium</t>
  </si>
  <si>
    <t>Georgia State</t>
  </si>
  <si>
    <t>Darrell K Royal–Texas Memorial Stadium</t>
  </si>
  <si>
    <t>Texas</t>
  </si>
  <si>
    <t>Austin</t>
  </si>
  <si>
    <t>University of Texas</t>
  </si>
  <si>
    <t>DATCU Stadium</t>
  </si>
  <si>
    <t>North Texas</t>
  </si>
  <si>
    <t>Denton</t>
  </si>
  <si>
    <t>2011</t>
  </si>
  <si>
    <t>University of North Texas Athletic Department</t>
  </si>
  <si>
    <t>David Booth Kansas Memorial Stadium</t>
  </si>
  <si>
    <t>Kansas</t>
  </si>
  <si>
    <t>Lawrence</t>
  </si>
  <si>
    <t>1921</t>
  </si>
  <si>
    <t>University of Kansas</t>
  </si>
  <si>
    <t>Davis Wade Stadium at Scott Field</t>
  </si>
  <si>
    <t>Mississippi State</t>
  </si>
  <si>
    <t>Mississippi State[h]</t>
  </si>
  <si>
    <t>Delaware Stadium</t>
  </si>
  <si>
    <t>Delaware</t>
  </si>
  <si>
    <t>DE</t>
  </si>
  <si>
    <t>1952</t>
  </si>
  <si>
    <t>Univ. of Delaware Athletics</t>
  </si>
  <si>
    <t>Dix Stadium</t>
  </si>
  <si>
    <t>Kent State</t>
  </si>
  <si>
    <t>Kent</t>
  </si>
  <si>
    <t>1969</t>
  </si>
  <si>
    <t>Kent State University</t>
  </si>
  <si>
    <t>Donald W. Reynolds Razorback Stadium, Frank Broyles Field</t>
  </si>
  <si>
    <t>Arkansas</t>
  </si>
  <si>
    <t>Fayetteville</t>
  </si>
  <si>
    <t>1938</t>
  </si>
  <si>
    <t>Doyt L. Perry Stadium</t>
  </si>
  <si>
    <t>Bowling Green</t>
  </si>
  <si>
    <t>Bowling Green State University</t>
  </si>
  <si>
    <t>Elliott T. Bowers Stadium</t>
  </si>
  <si>
    <t>Sam Houston</t>
  </si>
  <si>
    <t>Huntsville</t>
  </si>
  <si>
    <t>1986</t>
  </si>
  <si>
    <t>Sam Houston St Univ. Athletics</t>
  </si>
  <si>
    <t>Falcon Stadium</t>
  </si>
  <si>
    <t>Air Force</t>
  </si>
  <si>
    <t>USAF Academy[i]</t>
  </si>
  <si>
    <t>U.S. Air Force Academy</t>
  </si>
  <si>
    <t>Faurot Field at Memorial Stadium</t>
  </si>
  <si>
    <t>Missouri</t>
  </si>
  <si>
    <t>Columbia</t>
  </si>
  <si>
    <t>1927</t>
  </si>
  <si>
    <t>University of Missouri</t>
  </si>
  <si>
    <t>Fifth Third Stadium</t>
  </si>
  <si>
    <t>Kennesaw State</t>
  </si>
  <si>
    <t>Kennesaw[j]</t>
  </si>
  <si>
    <t>Kennesaw State University</t>
  </si>
  <si>
    <t>FirstBank Stadium</t>
  </si>
  <si>
    <t>Vanderbilt</t>
  </si>
  <si>
    <t>1922</t>
  </si>
  <si>
    <t>Vanderbilt University</t>
  </si>
  <si>
    <t>Folsom Field</t>
  </si>
  <si>
    <t>Colorado</t>
  </si>
  <si>
    <t>Boulder</t>
  </si>
  <si>
    <t>University of Colorado</t>
  </si>
  <si>
    <t>Frank Howard Field at Clemson Memorial Stadium</t>
  </si>
  <si>
    <t>Clemson</t>
  </si>
  <si>
    <t>1942</t>
  </si>
  <si>
    <t>Frank Kush Field, Home of the ASU Sun Devils/Mountain America Stadium</t>
  </si>
  <si>
    <t>Arizona State</t>
  </si>
  <si>
    <t>Tempe</t>
  </si>
  <si>
    <t>1958</t>
  </si>
  <si>
    <t>Fred C. Yager Stadium</t>
  </si>
  <si>
    <t>Oxford</t>
  </si>
  <si>
    <t>1983</t>
  </si>
  <si>
    <t>Miami University</t>
  </si>
  <si>
    <t>Gaylord Family Oklahoma Memorial Stadium</t>
  </si>
  <si>
    <t>Oklahoma</t>
  </si>
  <si>
    <t>Norman</t>
  </si>
  <si>
    <t>University of Oklahoma</t>
  </si>
  <si>
    <t>Gerald J. Ford Stadium</t>
  </si>
  <si>
    <t>SMU</t>
  </si>
  <si>
    <t>University Park[k]</t>
  </si>
  <si>
    <t>Southern Methodist University</t>
  </si>
  <si>
    <t>Illinois</t>
  </si>
  <si>
    <t>Champaign</t>
  </si>
  <si>
    <t>University of Illinois</t>
  </si>
  <si>
    <t>Glass Bowl</t>
  </si>
  <si>
    <t>Toledo</t>
  </si>
  <si>
    <t>1937</t>
  </si>
  <si>
    <t>University of Toledo</t>
  </si>
  <si>
    <t>Hancock Whitney Stadium</t>
  </si>
  <si>
    <t>South Alabama</t>
  </si>
  <si>
    <t>Mobile</t>
  </si>
  <si>
    <t>University of South Alabama</t>
  </si>
  <si>
    <t>Hornet Stadium</t>
  </si>
  <si>
    <t>Sacramento State</t>
  </si>
  <si>
    <t>Houchens Industries–L. T. Smith Stadium at Jimmy Feix Field</t>
  </si>
  <si>
    <t>Western Kentucky</t>
  </si>
  <si>
    <t>KY</t>
  </si>
  <si>
    <t>Howard Schnellenberger Field at Flagler Credit Union Stadium</t>
  </si>
  <si>
    <t>Florida Atlantic</t>
  </si>
  <si>
    <t>Boca Raton</t>
  </si>
  <si>
    <t>Huntington Bank Stadium</t>
  </si>
  <si>
    <t>Minnesota</t>
  </si>
  <si>
    <t>University of Minnesota</t>
  </si>
  <si>
    <t>InfoCision Stadium–Summa Field</t>
  </si>
  <si>
    <t>Akron</t>
  </si>
  <si>
    <t>University of Akron</t>
  </si>
  <si>
    <t>Iowa State</t>
  </si>
  <si>
    <t>Ames</t>
  </si>
  <si>
    <t>IA</t>
  </si>
  <si>
    <t>Iowa State University</t>
  </si>
  <si>
    <t>Jim Wacker Field at UFCU Stadium</t>
  </si>
  <si>
    <t>Texas State</t>
  </si>
  <si>
    <t>San Marcos</t>
  </si>
  <si>
    <t>1981</t>
  </si>
  <si>
    <t>Joan C. Edwards Stadium</t>
  </si>
  <si>
    <t>Marshall</t>
  </si>
  <si>
    <t>Huntington</t>
  </si>
  <si>
    <t>WV</t>
  </si>
  <si>
    <t>Marshall University</t>
  </si>
  <si>
    <t>Joe Aillet Stadium</t>
  </si>
  <si>
    <t>Louisiana Tech</t>
  </si>
  <si>
    <t>Ruston</t>
  </si>
  <si>
    <t>Louisiana Tech University</t>
  </si>
  <si>
    <t>John O'Quinn Field at Space City Financial Stadium</t>
  </si>
  <si>
    <t>Johnny "Red" Floyd Stadium</t>
  </si>
  <si>
    <t>Middle Tennessee</t>
  </si>
  <si>
    <t>Murfreesboro</t>
  </si>
  <si>
    <t>Jonah Field at War Memorial Stadium</t>
  </si>
  <si>
    <t>Wyoming</t>
  </si>
  <si>
    <t>Laramie</t>
  </si>
  <si>
    <t>WY</t>
  </si>
  <si>
    <t>Jones AT&amp;T Stadium</t>
  </si>
  <si>
    <t>Texas Tech</t>
  </si>
  <si>
    <t>Lubbock</t>
  </si>
  <si>
    <t>Texas Tech University</t>
  </si>
  <si>
    <t>Kramer/Deromedi Field at Kelly/Shorts Stadium</t>
  </si>
  <si>
    <t>Central Michigan</t>
  </si>
  <si>
    <t>Mount Pleasant</t>
  </si>
  <si>
    <t>Kenan Stadium</t>
  </si>
  <si>
    <t>North Carolina</t>
  </si>
  <si>
    <t>Chapel Hill</t>
  </si>
  <si>
    <t>University of North Carolina</t>
  </si>
  <si>
    <t>Kidd Brewer Stadium</t>
  </si>
  <si>
    <t>Appalachian State</t>
  </si>
  <si>
    <t>Boone</t>
  </si>
  <si>
    <t>Appalachian State University</t>
  </si>
  <si>
    <t>Kinnick Stadium</t>
  </si>
  <si>
    <t>Iowa</t>
  </si>
  <si>
    <t>Iowa City</t>
  </si>
  <si>
    <t>The University of Iowa</t>
  </si>
  <si>
    <t>Kornblau Field at S.B. Ballard Stadium</t>
  </si>
  <si>
    <t>Old Dominion</t>
  </si>
  <si>
    <t>Norfolk</t>
  </si>
  <si>
    <t>1936</t>
  </si>
  <si>
    <t>Kroger Field at C.M. Newton Grounds</t>
  </si>
  <si>
    <t>Kentucky</t>
  </si>
  <si>
    <t>Lexington</t>
  </si>
  <si>
    <t>Texas A&amp;M</t>
  </si>
  <si>
    <t>College Station</t>
  </si>
  <si>
    <t>L&amp;N Federal Credit Union Stadium</t>
  </si>
  <si>
    <t>Louisville</t>
  </si>
  <si>
    <t>University of Louisville</t>
  </si>
  <si>
    <t>Lane Stadium/Worsham Field</t>
  </si>
  <si>
    <t>Virginia Tech</t>
  </si>
  <si>
    <t>Blacksburg</t>
  </si>
  <si>
    <t>LaVell Edwards Stadium</t>
  </si>
  <si>
    <t>BYU</t>
  </si>
  <si>
    <t>Provo</t>
  </si>
  <si>
    <t>1964</t>
  </si>
  <si>
    <t>Brigham Young University</t>
  </si>
  <si>
    <t>Los Angeles Memorial Coliseum</t>
  </si>
  <si>
    <t>USC</t>
  </si>
  <si>
    <t>University of Southern California</t>
  </si>
  <si>
    <t>Mackay Stadium</t>
  </si>
  <si>
    <t>Nevada</t>
  </si>
  <si>
    <t>Reno</t>
  </si>
  <si>
    <t>University of Nevada, Reno</t>
  </si>
  <si>
    <t>Malone Stadium</t>
  </si>
  <si>
    <t>Louisiana-Monroe</t>
  </si>
  <si>
    <t>Monroe</t>
  </si>
  <si>
    <t>University of Louisiana at Monroe</t>
  </si>
  <si>
    <t>Martin Stadium</t>
  </si>
  <si>
    <t>Washington State</t>
  </si>
  <si>
    <t>Pullman</t>
  </si>
  <si>
    <t>Washington State University</t>
  </si>
  <si>
    <t>McColl–Richardson Field at Jerry Richardson Stadium</t>
  </si>
  <si>
    <t>2013</t>
  </si>
  <si>
    <t>McLane Stadium</t>
  </si>
  <si>
    <t>Baylor</t>
  </si>
  <si>
    <t>Waco</t>
  </si>
  <si>
    <t>Baylor University</t>
  </si>
  <si>
    <t>Merchants Bank Field at Memorial Stadium</t>
  </si>
  <si>
    <t>Indiana</t>
  </si>
  <si>
    <t>Bloomington</t>
  </si>
  <si>
    <t>1960</t>
  </si>
  <si>
    <t>Memorial Stadium, Tom Osborne Field</t>
  </si>
  <si>
    <t>Nebraska</t>
  </si>
  <si>
    <t>Lincoln</t>
  </si>
  <si>
    <t>NE</t>
  </si>
  <si>
    <t>Merlin Olsen Field at Maverik Stadium</t>
  </si>
  <si>
    <t>Utah State</t>
  </si>
  <si>
    <t>Logan</t>
  </si>
  <si>
    <t>Utah State University</t>
  </si>
  <si>
    <t>Michigan Stadium</t>
  </si>
  <si>
    <t>Michigan</t>
  </si>
  <si>
    <t>Ann Arbor</t>
  </si>
  <si>
    <t>University of Michigan</t>
  </si>
  <si>
    <t>Mountaineer Field at Milan Puskar Stadium</t>
  </si>
  <si>
    <t>West Virginia</t>
  </si>
  <si>
    <t>Morgantown</t>
  </si>
  <si>
    <t>1980</t>
  </si>
  <si>
    <t>West Virginia University</t>
  </si>
  <si>
    <t>Navy–Marine Corps Memorial Stadium</t>
  </si>
  <si>
    <t>Navy</t>
  </si>
  <si>
    <t>Annapolis</t>
  </si>
  <si>
    <t>U.S. Naval Academy</t>
  </si>
  <si>
    <t>Tennessee</t>
  </si>
  <si>
    <t>Knoxville</t>
  </si>
  <si>
    <t>University of Tennessee</t>
  </si>
  <si>
    <t>Nippert Stadium</t>
  </si>
  <si>
    <t>1915</t>
  </si>
  <si>
    <t>University of Cincinnati</t>
  </si>
  <si>
    <t>Notre Dame</t>
  </si>
  <si>
    <t>1930</t>
  </si>
  <si>
    <t>University of Notre Dame</t>
  </si>
  <si>
    <t>Ohio Stadium</t>
  </si>
  <si>
    <t>Ohio State</t>
  </si>
  <si>
    <t>Ohio State University Department of Athletics</t>
  </si>
  <si>
    <t>Pat Dye Field at Jordan–Hare Stadium</t>
  </si>
  <si>
    <t>Auburn</t>
  </si>
  <si>
    <t>1939</t>
  </si>
  <si>
    <t>Frank Solich Field at Peden Stadium</t>
  </si>
  <si>
    <t>Ohio</t>
  </si>
  <si>
    <t>Athens</t>
  </si>
  <si>
    <t>Pitbull Stadium</t>
  </si>
  <si>
    <t>FIU</t>
  </si>
  <si>
    <t>Miami[l]</t>
  </si>
  <si>
    <t>Florida International University</t>
  </si>
  <si>
    <t>Pratt &amp; Whitney Stadium at Rentschler Field</t>
  </si>
  <si>
    <t>UConn</t>
  </si>
  <si>
    <t>East Hartford</t>
  </si>
  <si>
    <t>CT</t>
  </si>
  <si>
    <t>Spectra</t>
  </si>
  <si>
    <t>Protective Stadium</t>
  </si>
  <si>
    <t>UAB</t>
  </si>
  <si>
    <t>Birmingham</t>
  </si>
  <si>
    <t>Birmingham-Jefferson Civic Center Authority</t>
  </si>
  <si>
    <t>Reser Stadium</t>
  </si>
  <si>
    <t>Oregon State</t>
  </si>
  <si>
    <t>Corvallis</t>
  </si>
  <si>
    <t>1953</t>
  </si>
  <si>
    <t>Oregon State University</t>
  </si>
  <si>
    <t>Rice Stadium</t>
  </si>
  <si>
    <t>Rice</t>
  </si>
  <si>
    <t>Rice–Eccles Stadium</t>
  </si>
  <si>
    <t>Utah</t>
  </si>
  <si>
    <t>University of Utah</t>
  </si>
  <si>
    <t>Robert W. Plaster Stadium</t>
  </si>
  <si>
    <t>Missouri State</t>
  </si>
  <si>
    <t>Springfield</t>
  </si>
  <si>
    <t>1941</t>
  </si>
  <si>
    <t>Missouri State University</t>
  </si>
  <si>
    <t>Rose Bowl Stadium</t>
  </si>
  <si>
    <t>UCLA</t>
  </si>
  <si>
    <t>Pasadena</t>
  </si>
  <si>
    <t>Rose Bowl Operating Company</t>
  </si>
  <si>
    <t>Ross–Ade Stadium</t>
  </si>
  <si>
    <t>Purdue</t>
  </si>
  <si>
    <t>West Lafayette</t>
  </si>
  <si>
    <t>Purdue University</t>
  </si>
  <si>
    <t>Ryan Field[O 1]</t>
  </si>
  <si>
    <t>Northwestern</t>
  </si>
  <si>
    <t>Evanston</t>
  </si>
  <si>
    <t>Rynearson Stadium</t>
  </si>
  <si>
    <t>Eastern Michigan</t>
  </si>
  <si>
    <t>Ypsilanti</t>
  </si>
  <si>
    <t>Eastern Michigan University</t>
  </si>
  <si>
    <t>Saban Field at Bryant–Denny Stadium</t>
  </si>
  <si>
    <t>Alabama</t>
  </si>
  <si>
    <t>Tuscaloosa</t>
  </si>
  <si>
    <t>Georgia</t>
  </si>
  <si>
    <t>Scheumann Stadium</t>
  </si>
  <si>
    <t>Ball State</t>
  </si>
  <si>
    <t>Muncie</t>
  </si>
  <si>
    <t>SECU Stadium</t>
  </si>
  <si>
    <t>Maryland</t>
  </si>
  <si>
    <t>College Park</t>
  </si>
  <si>
    <t>University of Maryland, College Park</t>
  </si>
  <si>
    <t>SHI Stadium</t>
  </si>
  <si>
    <t>Rutgers</t>
  </si>
  <si>
    <t>Piscataway</t>
  </si>
  <si>
    <t>Rutgers University</t>
  </si>
  <si>
    <t>Simmons Bank Liberty Stadium</t>
  </si>
  <si>
    <t>University of Memphis</t>
  </si>
  <si>
    <t>Skelly Field at H. A. Chapman Stadium</t>
  </si>
  <si>
    <t>Tulsa</t>
  </si>
  <si>
    <t>Univ. of Tulsa Athletics</t>
  </si>
  <si>
    <t>Snapdragon Stadium</t>
  </si>
  <si>
    <t>San Diego State</t>
  </si>
  <si>
    <t>2022</t>
  </si>
  <si>
    <t>San Diego State University</t>
  </si>
  <si>
    <t>Sonny Lubick Field at Canvas Stadium</t>
  </si>
  <si>
    <t>Colorado State</t>
  </si>
  <si>
    <t>Fort Collins</t>
  </si>
  <si>
    <t>Spartan Stadium</t>
  </si>
  <si>
    <t>Michigan State</t>
  </si>
  <si>
    <t>East Lansing</t>
  </si>
  <si>
    <t>Stanford Stadium</t>
  </si>
  <si>
    <t>Stanford</t>
  </si>
  <si>
    <t>Stanford University</t>
  </si>
  <si>
    <t>Steve Spurrier-Florida Field at Ben Hill Griffin Stadium</t>
  </si>
  <si>
    <t>Florida</t>
  </si>
  <si>
    <t>Gainesville</t>
  </si>
  <si>
    <t>University Athletic Association</t>
  </si>
  <si>
    <t>Sun Bowl Stadium</t>
  </si>
  <si>
    <t>UTEP</t>
  </si>
  <si>
    <t>El Paso</t>
  </si>
  <si>
    <t>University of Texas at El Paso</t>
  </si>
  <si>
    <t>LSU</t>
  </si>
  <si>
    <t>Baton Rouge</t>
  </si>
  <si>
    <t>UB Stadium</t>
  </si>
  <si>
    <t>Amherst[m]</t>
  </si>
  <si>
    <t>Univ. at Buffalo Athletics</t>
  </si>
  <si>
    <t>University Stadium</t>
  </si>
  <si>
    <t>New Mexico</t>
  </si>
  <si>
    <t>Albuquerque</t>
  </si>
  <si>
    <t>Valley Children's Stadium</t>
  </si>
  <si>
    <t>Fresno State</t>
  </si>
  <si>
    <t>Fresno</t>
  </si>
  <si>
    <t>California State University, Fresno</t>
  </si>
  <si>
    <t>Vaught–Hemingway Stadium at Hollingsworth Field</t>
  </si>
  <si>
    <t>Mississippi</t>
  </si>
  <si>
    <t>University[n]</t>
  </si>
  <si>
    <t>Veterans Memorial Stadium at Larry Blakeney Field</t>
  </si>
  <si>
    <t>Troy</t>
  </si>
  <si>
    <t>Waldo Stadium</t>
  </si>
  <si>
    <t>Western Michigan</t>
  </si>
  <si>
    <t>Kalamazoo</t>
  </si>
  <si>
    <t>Western Michigan University</t>
  </si>
  <si>
    <t>Warren McGuirk Alumni Stadium</t>
  </si>
  <si>
    <t>UMass</t>
  </si>
  <si>
    <t>Hadley[o]</t>
  </si>
  <si>
    <t>University of Massachusetts Amherst</t>
  </si>
  <si>
    <t>Wayne Day Family Field at Carter–Finley Stadium</t>
  </si>
  <si>
    <t>NC State</t>
  </si>
  <si>
    <t>South Carolina</t>
  </si>
  <si>
    <t>1934</t>
  </si>
  <si>
    <t>Continental Coliseum</t>
  </si>
  <si>
    <t>2028</t>
  </si>
  <si>
    <t>under_construction</t>
  </si>
  <si>
    <t>New South Philadelphia Arena</t>
  </si>
  <si>
    <t>2030</t>
  </si>
  <si>
    <t>planned</t>
  </si>
  <si>
    <t>2031</t>
  </si>
  <si>
    <t>2032</t>
  </si>
  <si>
    <t>New Nissan Stadium</t>
  </si>
  <si>
    <t>2027</t>
  </si>
  <si>
    <t>New Huntington Bank Field</t>
  </si>
  <si>
    <t>Brook Park</t>
  </si>
  <si>
    <t>2029</t>
  </si>
  <si>
    <t>New Stadium at RFK Campus</t>
  </si>
  <si>
    <t>Hammond</t>
  </si>
  <si>
    <t>New Broncos Stadium</t>
  </si>
  <si>
    <t>New Las Vegas Stadium†</t>
  </si>
  <si>
    <t>Las Vegas Athletics</t>
  </si>
  <si>
    <t>Dallas Stars</t>
  </si>
  <si>
    <t>Plano</t>
  </si>
  <si>
    <t>Future South Florida on-campus stadium</t>
  </si>
  <si>
    <t>South Florida</t>
  </si>
  <si>
    <t>Hawaiʻi</t>
  </si>
  <si>
    <t>Honolulu</t>
  </si>
  <si>
    <t>HI</t>
  </si>
  <si>
    <t>Hawaii Stadium Authority</t>
  </si>
  <si>
    <t>George R. Brown Convention Center</t>
  </si>
  <si>
    <t>Convention Center</t>
  </si>
  <si>
    <t>McCormick Place</t>
  </si>
  <si>
    <t>Las Vegas Convention Center</t>
  </si>
  <si>
    <t>Las Vegas</t>
  </si>
  <si>
    <t>Orange County Convention Center</t>
  </si>
  <si>
    <t>Walter E. Washington Convention Center</t>
  </si>
  <si>
    <t>Jacob K. Javits Convention Center</t>
  </si>
  <si>
    <t>Los Angeles Convention Center</t>
  </si>
  <si>
    <t>Kay Bailey Hutchison Convention Center</t>
  </si>
  <si>
    <t>Minneapolis Convention Center</t>
  </si>
  <si>
    <t>Phoenix Convention Center</t>
  </si>
  <si>
    <t>Boston Convention and Exhibition Center</t>
  </si>
  <si>
    <t>Colorado Convention Center</t>
  </si>
  <si>
    <t>Ernest N. Morial Convention Center</t>
  </si>
  <si>
    <t>Georgia World Congress Center</t>
  </si>
  <si>
    <t>Tampa Convention Center</t>
  </si>
  <si>
    <t>Music City Center</t>
  </si>
  <si>
    <t>Salt Palace Convention Center</t>
  </si>
  <si>
    <t>Tarrant County Convention Center</t>
  </si>
  <si>
    <t>Alamodome</t>
  </si>
  <si>
    <t>XL Center</t>
  </si>
  <si>
    <t>Hartford</t>
  </si>
  <si>
    <t>Rank</t>
  </si>
  <si>
    <t>Venue</t>
  </si>
  <si>
    <t>Signal Tier</t>
  </si>
  <si>
    <t>Likelihood %</t>
  </si>
  <si>
    <t>Project Type</t>
  </si>
  <si>
    <t>What's Happening</t>
  </si>
  <si>
    <t>Why Priority</t>
  </si>
  <si>
    <t>Evidence</t>
  </si>
  <si>
    <t>Stakeholders</t>
  </si>
  <si>
    <t>Source (Link)</t>
  </si>
  <si>
    <t>Feedback</t>
  </si>
  <si>
    <t>Notes</t>
  </si>
  <si>
    <t>Tier 2 — Funding Committed</t>
  </si>
  <si>
    <t>70%</t>
  </si>
  <si>
    <t>New Construction</t>
  </si>
  <si>
    <t>Indiana has approved a funding plan for infrastructure improvements surrounding the Chicago Bears stadium. This indicates a commitment to the project's development.</t>
  </si>
  <si>
    <t>This funding approval is crucial as it supports the construction of the new stadium, which may require aluminum railings and platforms. Engaging early can position us favorably for future contracts.</t>
  </si>
  <si>
    <t>Funding for infrastructure around the Bears stadium has been approved.</t>
  </si>
  <si>
    <t>https://news.google.com/rss/articles/CBMirwFBVV95cUxPU3MtTjZ1SUsyRVN5bi1CWC0wYjdtbTVKM29rSTZuTlgtZXFfcmlSbGdKemF6Rzk2YWlIUFJBREF3ZFh1YUdobHZpakMySmljemFMSDUwQnR4bXhHRm5vY1piS01OTHZQUkxPckp6OHF2Yl9XVDVmOEM0QUxEaExiS1ZGeWNOdkEtS2t4NTd0WnNaSG1talJoSTNrLXNBMkFDS2NGVEVVS1AzWF9VUlRv?oc=5</t>
  </si>
  <si>
    <t>engage_now</t>
  </si>
  <si>
    <t>Tier 3 — Design Phase</t>
  </si>
  <si>
    <t>Major Renovation</t>
  </si>
  <si>
    <t>Officials have held a blessing for the redevelopment of Aloha Stadium. This marks a significant milestone in the ongoing construction project.</t>
  </si>
  <si>
    <t>The redevelopment of Aloha Stadium presents opportunities for aluminum railings and structural components. Engaging in this project could enhance our market presence in sports venue construction.</t>
  </si>
  <si>
    <t>The article discusses a milestone in the redevelopment of Aloha Stadium.</t>
  </si>
  <si>
    <t>https://news.google.com/rss/articles/CBMisgFBVV95cUxQUEcxMTFNdEF4UE1iTURhNEhVamZEM1psVEJrWm1hYmFPSVlxcTVxVVRiUkc1SlgwS3BjTmVkVjdyLU4wclRpVUhiNWxPbzU5SlpwUzdRdU9jSV9UQTFidUI4enh3MnVUeGdNeHRpQmV4TDFRRXlsUGNORW5Sb281ck96eUNQS1MydTF3aHNfd3VpTngyNlFQZHB1c21CenEyU3l5eTZ0X1RPT1hDSDJZZG5n0gHGAUFVX3lxTFBCck91VGdNeGdXdzR0aE1LaVNaa0dQNHM1UUNLZkIzTGNrMTAwS3NWWjdPVmVoYlBSZEl6OTUydXNQZnZIclVINmZFcXd2SHBnUktNZmhMOFltZUxacklqd2pZWVVSTEdaNmpjcjVLcTk1R1FWbUZDTTlMdzNwOVdWUG1RMEZjUkFGSlVRVXhTWjNyem5pRkNFRklwZWFoZWpOLWg5RU9oRjRtaFNYSGdzVlp5dFNqaE5pNVd5Y29IQlFMeUduZw?oc=5</t>
  </si>
  <si>
    <t>monitor</t>
  </si>
  <si>
    <t>Tier 4 — Procurement</t>
  </si>
  <si>
    <t>80%</t>
  </si>
  <si>
    <t>AECOM Hunt and Turner have initiated the construction of a new stadium for the Cleveland Browns. This project is currently in the design phase.</t>
  </si>
  <si>
    <t>This large-scale project presents significant opportunities for aluminum railings and structural components. Engaging early can position us favorably in the procurement process.</t>
  </si>
  <si>
    <t>Construction has officially started on the new stadium as of April 30, 2026.</t>
  </si>
  <si>
    <t>https://www.constructiondive.com/news/aecom-hunt-turner-jv-cleveland-browns-stadium-project/819230/</t>
  </si>
  <si>
    <t>too_late</t>
  </si>
  <si>
    <t>Funding has been secured for the construction of the Las Vegas Athletics' new ballpark. The project is currently under construction.</t>
  </si>
  <si>
    <t>This funding commitment is crucial for the project's progress, which may require aluminum railings and structural components. Engaging early could position us favorably for future contracts.</t>
  </si>
  <si>
    <t>Construction is underway with the lower bowl of the stadium taking shape.</t>
  </si>
  <si>
    <t>https://www.washingtonpost.com/sports/mlb/2026/05/21/athletics-as-stadium-vegas/8465de94-557d-11f1-9c40-7a0a12d9e745_story.html</t>
  </si>
  <si>
    <t>Name</t>
  </si>
  <si>
    <t>Title</t>
  </si>
  <si>
    <t>Organization</t>
  </si>
  <si>
    <t>Type</t>
  </si>
  <si>
    <t>Website</t>
  </si>
  <si>
    <t>Contact Email</t>
  </si>
  <si>
    <t>Root Cause</t>
  </si>
  <si>
    <t>Occurrences</t>
  </si>
  <si>
    <t>Example Venues</t>
  </si>
  <si>
    <t>Target</t>
  </si>
  <si>
    <t>Recommended Instruction</t>
  </si>
  <si>
    <t>Decision</t>
  </si>
  <si>
    <t>No pending patterns right now.</t>
  </si>
  <si>
    <t>Bad Data</t>
  </si>
  <si>
    <t>wrong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</si>
</sst>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3"/>
      <color rgb="FF0E2A47"/>
      <name val="Calibri"/>
    </font>
    <font>
      <i/>
      <sz val="8"/>
      <color rgb="FF64748B"/>
      <name val="Calibri"/>
    </font>
    <font>
      <sz val="8"/>
      <color rgb="FF64748B"/>
      <name val="Calibri"/>
    </font>
    <font>
      <b/>
      <sz val="11"/>
      <color rgb="FF1565C0"/>
      <name val="Calibri"/>
    </font>
    <font>
      <b/>
      <sz val="9"/>
      <color rgb="FFFFFFFF"/>
      <name val="Calibri"/>
    </font>
    <font>
      <b/>
      <sz val="8"/>
      <color rgb="FF1E40AF"/>
      <name val="Calibri"/>
    </font>
    <font>
      <b/>
      <sz val="8"/>
      <color rgb="FF64748B"/>
      <name val="Calibri"/>
    </font>
    <font>
      <b/>
      <sz val="24"/>
      <color rgb="FF1D4ED8"/>
      <name val="Calibri"/>
    </font>
    <font>
      <sz val="8"/>
      <color rgb="FF1B5E20"/>
      <name val="Calibri"/>
    </font>
    <font>
      <b/>
      <sz val="24"/>
      <color rgb="FF16A34A"/>
      <name val="Calibri"/>
    </font>
    <font>
      <b/>
      <sz val="24"/>
      <color rgb="FFEA580C"/>
      <name val="Calibri"/>
    </font>
    <font>
      <b/>
      <sz val="24"/>
      <color rgb="FF7C3AED"/>
      <name val="Calibri"/>
    </font>
    <font>
      <b/>
      <sz val="24"/>
      <color rgb="FF0E2A47"/>
      <name val="Calibri"/>
    </font>
    <font>
      <b/>
      <sz val="24"/>
      <color rgb="FF0F766E"/>
      <name val="Calibri"/>
    </font>
    <font>
      <i/>
      <sz val="7"/>
      <color rgb="FF64748B"/>
      <name val="Calibri"/>
    </font>
    <font>
      <sz val="6"/>
      <color rgb="FFFFFFFF"/>
      <name val="Calibri"/>
    </font>
    <font>
      <b/>
      <sz val="8"/>
      <color rgb="FFFFFFFF"/>
      <name val="Calibri"/>
    </font>
    <font>
      <sz val="9"/>
      <color rgb="FF374151"/>
      <name val="Calibri"/>
    </font>
    <font>
      <b/>
      <sz val="9"/>
      <color rgb="FF1B5E20"/>
      <name val="Calibri"/>
    </font>
    <font>
      <b/>
      <sz val="8"/>
      <color rgb="FF991B1B"/>
      <name val="Calibri"/>
    </font>
    <font>
      <b/>
      <sz val="8"/>
      <color rgb="FF854D0E"/>
      <name val="Calibri"/>
    </font>
    <font>
      <b/>
      <sz val="8"/>
      <color rgb="FF065F46"/>
      <name val="Calibri"/>
    </font>
    <font>
      <b/>
      <sz val="9"/>
      <color rgb="FF0D47A1"/>
      <name val="Calibri"/>
    </font>
    <font>
      <b/>
      <sz val="9"/>
      <color rgb="FFBF360C"/>
      <name val="Calibri"/>
    </font>
    <font>
      <b/>
      <sz val="10"/>
      <color rgb="FFFFFFFF"/>
      <name val="Calibri"/>
    </font>
    <font>
      <sz val="9"/>
      <color rgb="FF212121"/>
      <name val="Calibri"/>
    </font>
    <font>
      <b/>
      <sz val="9"/>
      <color rgb="FFE65100"/>
      <name val="Calibri"/>
    </font>
    <font>
      <b/>
      <sz val="9"/>
      <color rgb="FFB71C1C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D4ED8"/>
        <bgColor rgb="FF1D4ED8"/>
      </patternFill>
    </fill>
    <fill>
      <patternFill patternType="solid">
        <fgColor rgb="FF16A34A"/>
        <bgColor rgb="FF16A34A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0F766E"/>
        <bgColor rgb="FF0F766E"/>
      </patternFill>
    </fill>
    <fill>
      <patternFill patternType="solid">
        <fgColor rgb="FFD32F2F"/>
        <bgColor rgb="FFD32F2F"/>
      </patternFill>
    </fill>
    <fill>
      <patternFill patternType="solid">
        <fgColor rgb="FFF57C00"/>
        <bgColor rgb="FFF57C00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475569"/>
        <bgColor rgb="FF475569"/>
      </patternFill>
    </fill>
    <fill>
      <patternFill patternType="solid">
        <fgColor rgb="FFDBEAFE"/>
        <bgColor rgb="FFDBEAFE"/>
      </patternFill>
    </fill>
    <fill>
      <patternFill patternType="solid">
        <fgColor rgb="FFE5E7EB"/>
        <bgColor rgb="FFE5E7EB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FF7ED"/>
        <bgColor rgb="FFFFF7ED"/>
      </patternFill>
    </fill>
    <fill>
      <patternFill patternType="solid">
        <fgColor rgb="FFF5F3FF"/>
        <bgColor rgb="FFF5F3FF"/>
      </patternFill>
    </fill>
    <fill>
      <patternFill patternType="solid">
        <fgColor rgb="FFF0F9FF"/>
        <bgColor rgb="FFF0F9FF"/>
      </patternFill>
    </fill>
    <fill>
      <patternFill patternType="solid">
        <fgColor rgb="FF0E2A47"/>
        <bgColor rgb="FF0E2A47"/>
      </patternFill>
    </fill>
    <fill>
      <patternFill patternType="solid">
        <fgColor rgb="FFFFF3CD"/>
        <bgColor rgb="FFFFF3CD"/>
      </patternFill>
    </fill>
    <fill>
      <patternFill patternType="solid">
        <fgColor rgb="FFFFCDD2"/>
        <bgColor rgb="FFFFCDD2"/>
      </patternFill>
    </fill>
    <fill>
      <patternFill patternType="solid">
        <fgColor rgb="FFF9FAFB"/>
        <bgColor rgb="FFF9FAFB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004D40"/>
        <bgColor rgb="FF004D40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1A237E"/>
        <bgColor rgb="FF1A237E"/>
      </patternFill>
    </fill>
    <fill>
      <patternFill patternType="solid">
        <fgColor rgb="FFFFF9C4"/>
        <bgColor rgb="FFFFF9C4"/>
      </patternFill>
    </fill>
    <fill>
      <patternFill patternType="solid">
        <fgColor rgb="FFB71C1C"/>
        <bgColor rgb="FFB71C1C"/>
      </patternFill>
    </fill>
    <fill>
      <patternFill patternType="solid">
        <fgColor rgb="FF4A148C"/>
        <bgColor rgb="FF4A148C"/>
      </patternFill>
    </fill>
    <fill>
      <patternFill patternType="solid">
        <fgColor rgb="FF5D4037"/>
        <bgColor rgb="FF5D4037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93C5FD"/>
      </left>
      <right style="medium">
        <color rgb="FF93C5FD"/>
      </right>
      <top style="medium">
        <color rgb="FF93C5FD"/>
      </top>
      <bottom style="medium">
        <color rgb="FF93C5FD"/>
      </bottom>
      <diagonal/>
    </border>
    <border>
      <left/>
      <right/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6" fillId="0" borderId="0" xfId="0" applyFont="1"/>
    <xf numFmtId="0" fontId="0" fillId="14" borderId="0" xfId="0" applyFill="1"/>
    <xf numFmtId="0" fontId="17" fillId="20" borderId="4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left" vertical="center"/>
    </xf>
    <xf numFmtId="0" fontId="19" fillId="21" borderId="5" xfId="0" applyFont="1" applyFill="1" applyBorder="1" applyAlignment="1">
      <alignment horizontal="center" vertical="center"/>
    </xf>
    <xf numFmtId="0" fontId="18" fillId="23" borderId="5" xfId="0" applyFont="1" applyFill="1" applyBorder="1" applyAlignment="1">
      <alignment horizontal="center" vertical="center"/>
    </xf>
    <xf numFmtId="0" fontId="18" fillId="23" borderId="5" xfId="0" applyFont="1" applyFill="1" applyBorder="1" applyAlignment="1">
      <alignment horizontal="left" vertical="center"/>
    </xf>
    <xf numFmtId="0" fontId="20" fillId="24" borderId="5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left" vertical="center"/>
    </xf>
    <xf numFmtId="0" fontId="23" fillId="27" borderId="5" xfId="0" applyFont="1" applyFill="1" applyBorder="1" applyAlignment="1">
      <alignment horizontal="center" vertical="center"/>
    </xf>
    <xf numFmtId="0" fontId="22" fillId="26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0" fontId="19" fillId="22" borderId="5" xfId="0" applyFont="1" applyFill="1" applyBorder="1" applyAlignment="1">
      <alignment horizontal="center" vertical="center"/>
    </xf>
    <xf numFmtId="0" fontId="21" fillId="25" borderId="5" xfId="0" applyFont="1" applyFill="1" applyBorder="1" applyAlignment="1">
      <alignment horizontal="center" vertical="center"/>
    </xf>
    <xf numFmtId="0" fontId="24" fillId="28" borderId="5" xfId="0" applyFont="1" applyFill="1" applyBorder="1" applyAlignment="1">
      <alignment horizontal="center" vertical="center"/>
    </xf>
    <xf numFmtId="0" fontId="25" fillId="29" borderId="7" xfId="0" applyFont="1" applyFill="1" applyBorder="1" applyAlignment="1">
      <alignment horizontal="center" vertical="center"/>
    </xf>
    <xf numFmtId="0" fontId="26" fillId="30" borderId="7" xfId="0" applyFont="1" applyFill="1" applyBorder="1" applyAlignment="1">
      <alignment horizontal="left" vertical="center"/>
    </xf>
    <xf numFmtId="0" fontId="26" fillId="30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/>
    </xf>
    <xf numFmtId="0" fontId="26" fillId="2" borderId="7" xfId="0" applyFont="1" applyFill="1" applyBorder="1" applyAlignment="1">
      <alignment horizontal="center" vertical="center"/>
    </xf>
    <xf numFmtId="0" fontId="19" fillId="31" borderId="7" xfId="0" applyFont="1" applyFill="1" applyBorder="1" applyAlignment="1">
      <alignment horizontal="center" vertical="center"/>
    </xf>
    <xf numFmtId="0" fontId="25" fillId="32" borderId="7" xfId="0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left" vertical="center"/>
    </xf>
    <xf numFmtId="0" fontId="23" fillId="27" borderId="7" xfId="0" applyFont="1" applyFill="1" applyBorder="1" applyAlignment="1">
      <alignment horizontal="center" vertical="center"/>
    </xf>
    <xf numFmtId="0" fontId="26" fillId="23" borderId="7" xfId="0" applyFont="1" applyFill="1" applyBorder="1" applyAlignment="1">
      <alignment horizontal="left" vertical="center" wrapText="1"/>
    </xf>
    <xf numFmtId="0" fontId="24" fillId="28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 wrapText="1"/>
    </xf>
    <xf numFmtId="0" fontId="27" fillId="33" borderId="7" xfId="0" applyFont="1" applyFill="1" applyBorder="1" applyAlignment="1">
      <alignment horizontal="center" vertical="center"/>
    </xf>
    <xf numFmtId="0" fontId="28" fillId="22" borderId="7" xfId="0" applyFont="1" applyFill="1" applyBorder="1" applyAlignment="1">
      <alignment horizontal="center" vertical="center"/>
    </xf>
    <xf numFmtId="0" fontId="25" fillId="34" borderId="7" xfId="0" applyFont="1" applyFill="1" applyBorder="1" applyAlignment="1">
      <alignment horizontal="center" vertical="center"/>
    </xf>
    <xf numFmtId="0" fontId="25" fillId="35" borderId="7" xfId="0" applyFont="1" applyFill="1" applyBorder="1" applyAlignment="1">
      <alignment horizontal="center" vertical="center"/>
    </xf>
    <xf numFmtId="0" fontId="25" fillId="36" borderId="7" xfId="0" applyFont="1" applyFill="1" applyBorder="1" applyAlignment="1">
      <alignment horizontal="center" vertical="center"/>
    </xf>
    <xf numFmtId="0" fontId="26" fillId="0" borderId="0" xfId="0" applyFont="1"/>
    <xf numFmtId="0" fontId="5" fillId="8" borderId="1" xfId="0" applyFont="1" applyFill="1" applyBorder="1" applyAlignment="1">
      <alignment horizontal="center" vertical="center" wrapText="1"/>
    </xf>
    <xf numFmtId="0" fontId="0" fillId="0" borderId="0" xfId="0"/>
    <xf numFmtId="0" fontId="13" fillId="19" borderId="3" xfId="0" applyFont="1" applyFill="1" applyBorder="1" applyAlignment="1">
      <alignment horizontal="center" vertical="center"/>
    </xf>
    <xf numFmtId="0" fontId="0" fillId="19" borderId="3" xfId="0" applyFill="1" applyBorder="1"/>
    <xf numFmtId="0" fontId="7" fillId="16" borderId="3" xfId="0" applyFont="1" applyFill="1" applyBorder="1" applyAlignment="1">
      <alignment horizontal="left" vertical="center"/>
    </xf>
    <xf numFmtId="0" fontId="0" fillId="16" borderId="3" xfId="0" applyFill="1" applyBorder="1"/>
    <xf numFmtId="0" fontId="9" fillId="15" borderId="3" xfId="0" applyFont="1" applyFill="1" applyBorder="1" applyAlignment="1">
      <alignment horizontal="center" vertical="center"/>
    </xf>
    <xf numFmtId="0" fontId="0" fillId="15" borderId="3" xfId="0" applyFill="1" applyBorder="1"/>
    <xf numFmtId="0" fontId="5" fillId="20" borderId="0" xfId="0" applyFont="1" applyFill="1" applyAlignment="1">
      <alignment horizontal="left" vertical="center" indent="1"/>
    </xf>
    <xf numFmtId="0" fontId="7" fillId="19" borderId="3" xfId="0" applyFont="1" applyFill="1" applyBorder="1" applyAlignment="1">
      <alignment horizontal="left" vertical="center"/>
    </xf>
    <xf numFmtId="0" fontId="15" fillId="19" borderId="3" xfId="0" applyFont="1" applyFill="1" applyBorder="1" applyAlignment="1">
      <alignment horizontal="right" vertical="center"/>
    </xf>
    <xf numFmtId="0" fontId="18" fillId="18" borderId="6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/>
    </xf>
    <xf numFmtId="0" fontId="0" fillId="18" borderId="3" xfId="0" applyFill="1" applyBorder="1"/>
    <xf numFmtId="0" fontId="9" fillId="18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6" fillId="1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7" fillId="15" borderId="3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left" vertical="center"/>
    </xf>
    <xf numFmtId="0" fontId="9" fillId="17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8" fillId="15" borderId="3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left" vertical="center"/>
    </xf>
    <xf numFmtId="0" fontId="9" fillId="16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SIGNALS BY TIER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563EB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Dashboard!$U$1:$U$4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Dashboard!$V$1:$V$4</c:f>
              <c:numCache>
                <c:formatCode>General</c:formatCode>
                <c:ptCount val="4"/>
                <c:pt idx="0">
                  <c:v>22</c:v>
                </c:pt>
                <c:pt idx="1">
                  <c:v>18</c:v>
                </c:pt>
                <c:pt idx="2">
                  <c:v>10</c:v>
                </c:pt>
                <c:pt idx="3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1D-47BB-8779-3339D125E2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LEADS BY ENGAGEMENT ACTION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Dashboard!$X$1:$X$3</c:f>
              <c:strCache>
                <c:ptCount val="3"/>
                <c:pt idx="0">
                  <c:v>Act Now</c:v>
                </c:pt>
                <c:pt idx="1">
                  <c:v>Monitor</c:v>
                </c:pt>
                <c:pt idx="2">
                  <c:v>Too Late</c:v>
                </c:pt>
              </c:strCache>
            </c:strRef>
          </c:cat>
          <c:val>
            <c:numRef>
              <c:f>Dashboard!$Y$1:$Y$3</c:f>
              <c:numCache>
                <c:formatCode>General</c:formatCode>
                <c:ptCount val="3"/>
                <c:pt idx="0">
                  <c:v>3</c:v>
                </c:pt>
                <c:pt idx="1">
                  <c:v>22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7-4D3E-A47E-701855604E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SIGNALS BY LEAGUE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6A34A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Dashboard!$AA$1:$AA$5</c:f>
              <c:strCache>
                <c:ptCount val="5"/>
                <c:pt idx="0">
                  <c:v>NCAA</c:v>
                </c:pt>
                <c:pt idx="1">
                  <c:v>NFL</c:v>
                </c:pt>
                <c:pt idx="2">
                  <c:v>MLB</c:v>
                </c:pt>
                <c:pt idx="3">
                  <c:v>NBA</c:v>
                </c:pt>
                <c:pt idx="4">
                  <c:v>NHL</c:v>
                </c:pt>
              </c:strCache>
            </c:strRef>
          </c:cat>
          <c:val>
            <c:numRef>
              <c:f>Dashboard!$AB$1:$AB$5</c:f>
              <c:numCache>
                <c:formatCode>General</c:formatCode>
                <c:ptCount val="5"/>
                <c:pt idx="0">
                  <c:v>74</c:v>
                </c:pt>
                <c:pt idx="1">
                  <c:v>45</c:v>
                </c:pt>
                <c:pt idx="2">
                  <c:v>8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4E-476F-876A-74B4C11052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SIGNALS TREND (LAST 8 WEEKS)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5000">
              <a:solidFill>
                <a:srgbClr val="1D4ED8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Dashboard!$AD$1:$AD$8</c:f>
              <c:strCache>
                <c:ptCount val="8"/>
                <c:pt idx="0">
                  <c:v>Wk-8</c:v>
                </c:pt>
                <c:pt idx="1">
                  <c:v>Wk-7</c:v>
                </c:pt>
                <c:pt idx="2">
                  <c:v>Wk-6</c:v>
                </c:pt>
                <c:pt idx="3">
                  <c:v>Wk-5</c:v>
                </c:pt>
                <c:pt idx="4">
                  <c:v>Wk-4</c:v>
                </c:pt>
                <c:pt idx="5">
                  <c:v>Wk-3</c:v>
                </c:pt>
                <c:pt idx="6">
                  <c:v>Wk-2</c:v>
                </c:pt>
                <c:pt idx="7">
                  <c:v>Wk-1</c:v>
                </c:pt>
              </c:strCache>
            </c:strRef>
          </c:cat>
          <c:val>
            <c:numRef>
              <c:f>Dashboard!$AE$1:$AE$8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13</c:v>
                </c:pt>
                <c:pt idx="5">
                  <c:v>6</c:v>
                </c:pt>
                <c:pt idx="6">
                  <c:v>6</c:v>
                </c:pt>
                <c:pt idx="7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50-4E46-81C6-418E254A05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9</xdr:row>
      <xdr:rowOff>0</xdr:rowOff>
    </xdr:from>
    <xdr:ext cx="324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9</xdr:row>
      <xdr:rowOff>0</xdr:rowOff>
    </xdr:from>
    <xdr:ext cx="324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9</xdr:row>
      <xdr:rowOff>0</xdr:rowOff>
    </xdr:from>
    <xdr:ext cx="324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"/>
  <sheetViews>
    <sheetView showGridLines="0" topLeftCell="A36" workbookViewId="0"/>
  </sheetViews>
  <sheetFormatPr defaultRowHeight="14.5" x14ac:dyDescent="0.35"/>
  <cols>
    <col min="1" max="1" width="1" customWidth="1"/>
    <col min="2" max="2" width="10" customWidth="1"/>
    <col min="3" max="3" width="20" customWidth="1"/>
    <col min="4" max="14" width="10" customWidth="1"/>
    <col min="15" max="15" width="18" customWidth="1"/>
    <col min="16" max="19" width="10" customWidth="1"/>
    <col min="21" max="34" width="0.26953125" customWidth="1"/>
  </cols>
  <sheetData>
    <row r="1" spans="1:34" ht="22" customHeight="1" x14ac:dyDescent="0.35">
      <c r="A1" s="1"/>
      <c r="B1" s="72" t="s">
        <v>0</v>
      </c>
      <c r="C1" s="40"/>
      <c r="D1" s="40"/>
      <c r="E1" s="40"/>
      <c r="F1" s="56" t="s">
        <v>1</v>
      </c>
      <c r="G1" s="67" t="s">
        <v>2</v>
      </c>
      <c r="H1" s="40"/>
      <c r="I1" s="52" t="s">
        <v>3</v>
      </c>
      <c r="J1" s="58" t="s">
        <v>4</v>
      </c>
      <c r="K1" s="64" t="s">
        <v>5</v>
      </c>
      <c r="L1" s="77" t="s">
        <v>6</v>
      </c>
      <c r="M1" s="68" t="s">
        <v>7</v>
      </c>
      <c r="N1" s="39" t="s">
        <v>8</v>
      </c>
      <c r="O1" s="76" t="s">
        <v>9</v>
      </c>
      <c r="P1" s="59" t="s">
        <v>10</v>
      </c>
      <c r="Q1" s="70" t="s">
        <v>11</v>
      </c>
      <c r="R1" s="60" t="s">
        <v>12</v>
      </c>
      <c r="S1" s="57" t="s">
        <v>13</v>
      </c>
      <c r="U1" s="2" t="s">
        <v>14</v>
      </c>
      <c r="V1" s="2">
        <v>22</v>
      </c>
      <c r="W1" s="2"/>
      <c r="X1" s="2" t="s">
        <v>15</v>
      </c>
      <c r="Y1" s="2">
        <v>3</v>
      </c>
      <c r="Z1" s="2"/>
      <c r="AA1" s="2" t="s">
        <v>16</v>
      </c>
      <c r="AB1" s="2">
        <v>74</v>
      </c>
      <c r="AC1" s="2"/>
      <c r="AD1" s="2" t="s">
        <v>17</v>
      </c>
      <c r="AE1" s="2">
        <v>0</v>
      </c>
      <c r="AF1" s="2"/>
      <c r="AG1" s="2" t="s">
        <v>18</v>
      </c>
      <c r="AH1" s="2">
        <v>81</v>
      </c>
    </row>
    <row r="2" spans="1:34" ht="14" customHeight="1" x14ac:dyDescent="0.35">
      <c r="A2" s="1"/>
      <c r="B2" s="51" t="s">
        <v>19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U2" s="2" t="s">
        <v>20</v>
      </c>
      <c r="V2" s="2">
        <v>18</v>
      </c>
      <c r="W2" s="2"/>
      <c r="X2" s="2" t="s">
        <v>21</v>
      </c>
      <c r="Y2" s="2">
        <v>22</v>
      </c>
      <c r="Z2" s="2"/>
      <c r="AA2" s="2" t="s">
        <v>22</v>
      </c>
      <c r="AB2" s="2">
        <v>45</v>
      </c>
      <c r="AC2" s="2"/>
      <c r="AD2" s="2" t="s">
        <v>23</v>
      </c>
      <c r="AE2" s="2">
        <v>0</v>
      </c>
      <c r="AF2" s="2"/>
      <c r="AG2" s="2" t="s">
        <v>24</v>
      </c>
      <c r="AH2" s="2">
        <v>56</v>
      </c>
    </row>
    <row r="3" spans="1:34" ht="14" customHeight="1" x14ac:dyDescent="0.35">
      <c r="A3" s="1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U3" s="2" t="s">
        <v>25</v>
      </c>
      <c r="V3" s="2">
        <v>10</v>
      </c>
      <c r="W3" s="2"/>
      <c r="X3" s="2" t="s">
        <v>26</v>
      </c>
      <c r="Y3" s="2">
        <v>11</v>
      </c>
      <c r="Z3" s="2"/>
      <c r="AA3" s="2" t="s">
        <v>27</v>
      </c>
      <c r="AB3" s="2">
        <v>8</v>
      </c>
      <c r="AC3" s="2"/>
      <c r="AD3" s="2" t="s">
        <v>28</v>
      </c>
      <c r="AE3" s="2">
        <v>0</v>
      </c>
      <c r="AF3" s="2"/>
      <c r="AG3" s="2"/>
      <c r="AH3" s="2"/>
    </row>
    <row r="4" spans="1:34" ht="16" customHeight="1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U4" s="2" t="s">
        <v>29</v>
      </c>
      <c r="V4" s="2">
        <v>22</v>
      </c>
      <c r="W4" s="2"/>
      <c r="X4" s="2"/>
      <c r="Y4" s="2"/>
      <c r="Z4" s="2"/>
      <c r="AA4" s="2" t="s">
        <v>30</v>
      </c>
      <c r="AB4" s="2">
        <v>8</v>
      </c>
      <c r="AC4" s="2"/>
      <c r="AD4" s="2" t="s">
        <v>31</v>
      </c>
      <c r="AE4" s="2">
        <v>1</v>
      </c>
      <c r="AF4" s="2"/>
      <c r="AG4" s="2"/>
      <c r="AH4" s="2"/>
    </row>
    <row r="5" spans="1:34" ht="16" customHeight="1" x14ac:dyDescent="0.35">
      <c r="A5" s="1"/>
      <c r="B5" s="63" t="s">
        <v>32</v>
      </c>
      <c r="C5" s="46"/>
      <c r="D5" s="46"/>
      <c r="E5" s="43" t="s">
        <v>33</v>
      </c>
      <c r="F5" s="44"/>
      <c r="G5" s="44"/>
      <c r="H5" s="65" t="s">
        <v>34</v>
      </c>
      <c r="I5" s="62"/>
      <c r="J5" s="62"/>
      <c r="K5" s="74" t="s">
        <v>35</v>
      </c>
      <c r="L5" s="54"/>
      <c r="M5" s="54"/>
      <c r="N5" s="48" t="s">
        <v>36</v>
      </c>
      <c r="O5" s="42"/>
      <c r="P5" s="42"/>
      <c r="Q5" s="43" t="s">
        <v>37</v>
      </c>
      <c r="R5" s="44"/>
      <c r="S5" s="44"/>
      <c r="U5" s="2"/>
      <c r="V5" s="2"/>
      <c r="W5" s="2"/>
      <c r="X5" s="2"/>
      <c r="Y5" s="2"/>
      <c r="Z5" s="2"/>
      <c r="AA5" s="2" t="s">
        <v>38</v>
      </c>
      <c r="AB5" s="2">
        <v>2</v>
      </c>
      <c r="AC5" s="2"/>
      <c r="AD5" s="2" t="s">
        <v>39</v>
      </c>
      <c r="AE5" s="2">
        <v>13</v>
      </c>
      <c r="AF5" s="2"/>
      <c r="AG5" s="2"/>
      <c r="AH5" s="2"/>
    </row>
    <row r="6" spans="1:34" ht="26" customHeight="1" x14ac:dyDescent="0.35">
      <c r="A6" s="1"/>
      <c r="B6" s="73">
        <v>137</v>
      </c>
      <c r="C6" s="46"/>
      <c r="D6" s="46"/>
      <c r="E6" s="69">
        <v>22</v>
      </c>
      <c r="F6" s="44"/>
      <c r="G6" s="44"/>
      <c r="H6" s="61">
        <v>3</v>
      </c>
      <c r="I6" s="62"/>
      <c r="J6" s="62"/>
      <c r="K6" s="53">
        <v>22</v>
      </c>
      <c r="L6" s="54"/>
      <c r="M6" s="54"/>
      <c r="N6" s="41">
        <v>0</v>
      </c>
      <c r="O6" s="42"/>
      <c r="P6" s="42"/>
      <c r="Q6" s="71">
        <v>25</v>
      </c>
      <c r="R6" s="44"/>
      <c r="S6" s="44"/>
      <c r="U6" s="2"/>
      <c r="V6" s="2"/>
      <c r="W6" s="2"/>
      <c r="X6" s="2"/>
      <c r="Y6" s="2"/>
      <c r="Z6" s="2"/>
      <c r="AA6" s="2"/>
      <c r="AB6" s="2"/>
      <c r="AC6" s="2"/>
      <c r="AD6" s="2" t="s">
        <v>40</v>
      </c>
      <c r="AE6" s="2">
        <v>6</v>
      </c>
      <c r="AF6" s="2"/>
      <c r="AG6" s="2"/>
      <c r="AH6" s="2"/>
    </row>
    <row r="7" spans="1:34" ht="26" customHeight="1" x14ac:dyDescent="0.35">
      <c r="A7" s="1"/>
      <c r="B7" s="46"/>
      <c r="C7" s="46"/>
      <c r="D7" s="46"/>
      <c r="E7" s="44"/>
      <c r="F7" s="44"/>
      <c r="G7" s="44"/>
      <c r="H7" s="62"/>
      <c r="I7" s="62"/>
      <c r="J7" s="62"/>
      <c r="K7" s="54"/>
      <c r="L7" s="54"/>
      <c r="M7" s="54"/>
      <c r="N7" s="42"/>
      <c r="O7" s="42"/>
      <c r="P7" s="42"/>
      <c r="Q7" s="44"/>
      <c r="R7" s="44"/>
      <c r="S7" s="44"/>
      <c r="U7" s="2"/>
      <c r="V7" s="2"/>
      <c r="W7" s="2"/>
      <c r="X7" s="2"/>
      <c r="Y7" s="2"/>
      <c r="Z7" s="2"/>
      <c r="AA7" s="2"/>
      <c r="AB7" s="2"/>
      <c r="AC7" s="2"/>
      <c r="AD7" s="2" t="s">
        <v>41</v>
      </c>
      <c r="AE7" s="2">
        <v>6</v>
      </c>
      <c r="AF7" s="2"/>
      <c r="AG7" s="2"/>
      <c r="AH7" s="2"/>
    </row>
    <row r="8" spans="1:34" ht="14" customHeight="1" x14ac:dyDescent="0.35">
      <c r="A8" s="1"/>
      <c r="B8" s="45" t="s">
        <v>42</v>
      </c>
      <c r="C8" s="46"/>
      <c r="D8" s="46"/>
      <c r="E8" s="75" t="s">
        <v>42</v>
      </c>
      <c r="F8" s="44"/>
      <c r="G8" s="44"/>
      <c r="H8" s="66" t="s">
        <v>43</v>
      </c>
      <c r="I8" s="62"/>
      <c r="J8" s="62"/>
      <c r="K8" s="55" t="s">
        <v>44</v>
      </c>
      <c r="L8" s="54"/>
      <c r="M8" s="54"/>
      <c r="N8" s="49" t="s">
        <v>45</v>
      </c>
      <c r="O8" s="40"/>
      <c r="P8" s="40"/>
      <c r="Q8" s="40"/>
      <c r="R8" s="40"/>
      <c r="S8" s="44"/>
      <c r="U8" s="2"/>
      <c r="V8" s="2"/>
      <c r="W8" s="2"/>
      <c r="X8" s="2"/>
      <c r="Y8" s="2"/>
      <c r="Z8" s="2"/>
      <c r="AA8" s="2"/>
      <c r="AB8" s="2"/>
      <c r="AC8" s="2"/>
      <c r="AD8" s="2" t="s">
        <v>46</v>
      </c>
      <c r="AE8" s="2">
        <v>59</v>
      </c>
      <c r="AF8" s="2"/>
      <c r="AG8" s="2"/>
      <c r="AH8" s="2"/>
    </row>
    <row r="9" spans="1:34" ht="16" customHeight="1" x14ac:dyDescent="0.3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4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34" ht="14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34" ht="14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34" ht="14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34" ht="14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4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4" customHeight="1" x14ac:dyDescent="0.3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" customHeight="1" x14ac:dyDescent="0.35">
      <c r="A25" s="1"/>
      <c r="B25" s="47" t="s">
        <v>47</v>
      </c>
      <c r="C25" s="40"/>
      <c r="D25" s="40"/>
      <c r="E25" s="40"/>
      <c r="F25" s="40"/>
      <c r="G25" s="47" t="s">
        <v>48</v>
      </c>
      <c r="H25" s="40"/>
      <c r="I25" s="40"/>
      <c r="J25" s="40"/>
      <c r="K25" s="40"/>
      <c r="L25" s="40"/>
      <c r="M25" s="40"/>
      <c r="N25" s="47" t="s">
        <v>49</v>
      </c>
      <c r="O25" s="40"/>
      <c r="P25" s="40"/>
      <c r="Q25" s="40"/>
      <c r="R25" s="40"/>
      <c r="S25" s="40"/>
    </row>
    <row r="26" spans="1:19" ht="16" customHeight="1" x14ac:dyDescent="0.35">
      <c r="A26" s="1"/>
      <c r="B26" s="4" t="s">
        <v>50</v>
      </c>
      <c r="C26" s="4" t="s">
        <v>51</v>
      </c>
      <c r="D26" s="4" t="s">
        <v>52</v>
      </c>
      <c r="E26" s="4" t="s">
        <v>53</v>
      </c>
      <c r="F26" s="4" t="s">
        <v>54</v>
      </c>
      <c r="G26" s="4" t="s">
        <v>50</v>
      </c>
      <c r="H26" s="4" t="s">
        <v>51</v>
      </c>
      <c r="I26" s="4" t="s">
        <v>55</v>
      </c>
      <c r="J26" s="4" t="s">
        <v>53</v>
      </c>
      <c r="K26" s="4" t="s">
        <v>56</v>
      </c>
      <c r="L26" s="4" t="s">
        <v>54</v>
      </c>
      <c r="M26" s="4" t="s">
        <v>57</v>
      </c>
      <c r="N26" s="4" t="s">
        <v>50</v>
      </c>
      <c r="O26" s="4" t="s">
        <v>51</v>
      </c>
      <c r="P26" s="4" t="s">
        <v>55</v>
      </c>
      <c r="Q26" s="4" t="s">
        <v>53</v>
      </c>
      <c r="R26" s="4" t="s">
        <v>56</v>
      </c>
      <c r="S26" s="4" t="s">
        <v>54</v>
      </c>
    </row>
    <row r="27" spans="1:19" ht="13" customHeight="1" x14ac:dyDescent="0.35">
      <c r="A27" s="1"/>
      <c r="B27" s="5">
        <v>1</v>
      </c>
      <c r="C27" s="6" t="s">
        <v>58</v>
      </c>
      <c r="D27" s="5" t="s">
        <v>59</v>
      </c>
      <c r="E27" s="5">
        <v>2</v>
      </c>
      <c r="F27" s="7">
        <v>63</v>
      </c>
      <c r="G27" s="8">
        <v>1</v>
      </c>
      <c r="H27" s="9" t="s">
        <v>60</v>
      </c>
      <c r="I27" s="8" t="s">
        <v>22</v>
      </c>
      <c r="J27" s="8">
        <v>4</v>
      </c>
      <c r="K27" s="10" t="s">
        <v>26</v>
      </c>
      <c r="L27" s="8">
        <v>75</v>
      </c>
      <c r="M27" s="8" t="s">
        <v>61</v>
      </c>
      <c r="N27" s="11">
        <v>1</v>
      </c>
      <c r="O27" s="12" t="s">
        <v>62</v>
      </c>
      <c r="P27" s="11" t="s">
        <v>30</v>
      </c>
      <c r="Q27" s="13">
        <v>2</v>
      </c>
      <c r="R27" s="14" t="s">
        <v>15</v>
      </c>
      <c r="S27" s="11">
        <v>54</v>
      </c>
    </row>
    <row r="28" spans="1:19" ht="13" customHeight="1" x14ac:dyDescent="0.35">
      <c r="A28" s="1"/>
      <c r="B28" s="15">
        <v>2</v>
      </c>
      <c r="C28" s="16" t="s">
        <v>63</v>
      </c>
      <c r="D28" s="15" t="s">
        <v>64</v>
      </c>
      <c r="E28" s="15">
        <v>2</v>
      </c>
      <c r="F28" s="17">
        <v>55</v>
      </c>
      <c r="G28" s="15">
        <v>2</v>
      </c>
      <c r="H28" s="16" t="s">
        <v>65</v>
      </c>
      <c r="I28" s="15" t="s">
        <v>16</v>
      </c>
      <c r="J28" s="15">
        <v>1</v>
      </c>
      <c r="K28" s="18" t="s">
        <v>21</v>
      </c>
      <c r="L28" s="15">
        <v>70</v>
      </c>
      <c r="M28" s="15" t="s">
        <v>61</v>
      </c>
      <c r="N28" s="15">
        <v>2</v>
      </c>
      <c r="O28" s="16" t="s">
        <v>66</v>
      </c>
      <c r="P28" s="15" t="s">
        <v>16</v>
      </c>
      <c r="Q28" s="13">
        <v>2</v>
      </c>
      <c r="R28" s="18" t="s">
        <v>21</v>
      </c>
      <c r="S28" s="15">
        <v>53</v>
      </c>
    </row>
    <row r="29" spans="1:19" ht="13" customHeight="1" x14ac:dyDescent="0.35">
      <c r="A29" s="1"/>
      <c r="B29" s="5">
        <v>3</v>
      </c>
      <c r="C29" s="6" t="s">
        <v>62</v>
      </c>
      <c r="D29" s="5" t="s">
        <v>67</v>
      </c>
      <c r="E29" s="5">
        <v>2</v>
      </c>
      <c r="F29" s="17">
        <v>54</v>
      </c>
      <c r="G29" s="8">
        <v>3</v>
      </c>
      <c r="H29" s="9" t="s">
        <v>68</v>
      </c>
      <c r="I29" s="8" t="s">
        <v>16</v>
      </c>
      <c r="J29" s="8">
        <v>1</v>
      </c>
      <c r="K29" s="18" t="s">
        <v>21</v>
      </c>
      <c r="L29" s="8">
        <v>70</v>
      </c>
      <c r="M29" s="8" t="s">
        <v>61</v>
      </c>
      <c r="N29" s="11">
        <v>3</v>
      </c>
      <c r="O29" s="12" t="s">
        <v>69</v>
      </c>
      <c r="P29" s="11" t="s">
        <v>27</v>
      </c>
      <c r="Q29" s="13">
        <v>2</v>
      </c>
      <c r="R29" s="18" t="s">
        <v>21</v>
      </c>
      <c r="S29" s="11">
        <v>49</v>
      </c>
    </row>
    <row r="30" spans="1:19" ht="13" customHeight="1" x14ac:dyDescent="0.35">
      <c r="A30" s="1"/>
      <c r="B30" s="15"/>
      <c r="C30" s="16"/>
      <c r="D30" s="15"/>
      <c r="E30" s="15"/>
      <c r="F30" s="15"/>
      <c r="G30" s="15">
        <v>4</v>
      </c>
      <c r="H30" s="16" t="s">
        <v>70</v>
      </c>
      <c r="I30" s="15" t="s">
        <v>16</v>
      </c>
      <c r="J30" s="15">
        <v>1</v>
      </c>
      <c r="K30" s="18" t="s">
        <v>21</v>
      </c>
      <c r="L30" s="15">
        <v>70</v>
      </c>
      <c r="M30" s="15" t="s">
        <v>61</v>
      </c>
      <c r="N30" s="15">
        <v>4</v>
      </c>
      <c r="O30" s="16" t="s">
        <v>71</v>
      </c>
      <c r="P30" s="15" t="s">
        <v>27</v>
      </c>
      <c r="Q30" s="13">
        <v>2</v>
      </c>
      <c r="R30" s="18" t="s">
        <v>21</v>
      </c>
      <c r="S30" s="15">
        <v>47</v>
      </c>
    </row>
    <row r="31" spans="1:19" ht="13" customHeight="1" x14ac:dyDescent="0.35">
      <c r="A31" s="1"/>
      <c r="B31" s="5"/>
      <c r="C31" s="6"/>
      <c r="D31" s="5"/>
      <c r="E31" s="5"/>
      <c r="F31" s="5"/>
      <c r="G31" s="8">
        <v>5</v>
      </c>
      <c r="H31" s="9" t="s">
        <v>58</v>
      </c>
      <c r="I31" s="8" t="s">
        <v>16</v>
      </c>
      <c r="J31" s="8">
        <v>2</v>
      </c>
      <c r="K31" s="14" t="s">
        <v>15</v>
      </c>
      <c r="L31" s="8">
        <v>63</v>
      </c>
      <c r="M31" s="8" t="s">
        <v>61</v>
      </c>
      <c r="N31" s="11">
        <v>5</v>
      </c>
      <c r="O31" s="12" t="s">
        <v>72</v>
      </c>
      <c r="P31" s="11" t="s">
        <v>38</v>
      </c>
      <c r="Q31" s="13">
        <v>2</v>
      </c>
      <c r="R31" s="18" t="s">
        <v>21</v>
      </c>
      <c r="S31" s="11">
        <v>47</v>
      </c>
    </row>
    <row r="32" spans="1:19" ht="13" customHeight="1" x14ac:dyDescent="0.35">
      <c r="A32" s="1"/>
      <c r="B32" s="15"/>
      <c r="C32" s="16"/>
      <c r="D32" s="15"/>
      <c r="E32" s="15"/>
      <c r="F32" s="15"/>
      <c r="G32" s="15">
        <v>6</v>
      </c>
      <c r="H32" s="16" t="s">
        <v>73</v>
      </c>
      <c r="I32" s="15" t="s">
        <v>16</v>
      </c>
      <c r="J32" s="15">
        <v>1</v>
      </c>
      <c r="K32" s="18" t="s">
        <v>21</v>
      </c>
      <c r="L32" s="15">
        <v>60</v>
      </c>
      <c r="M32" s="15" t="s">
        <v>74</v>
      </c>
      <c r="N32" s="15">
        <v>6</v>
      </c>
      <c r="O32" s="16" t="s">
        <v>75</v>
      </c>
      <c r="P32" s="15" t="s">
        <v>16</v>
      </c>
      <c r="Q32" s="19">
        <v>3</v>
      </c>
      <c r="R32" s="18" t="s">
        <v>21</v>
      </c>
      <c r="S32" s="15">
        <v>30</v>
      </c>
    </row>
    <row r="33" spans="1:19" ht="13" customHeight="1" x14ac:dyDescent="0.35">
      <c r="A33" s="1"/>
      <c r="B33" s="5"/>
      <c r="C33" s="6"/>
      <c r="D33" s="5"/>
      <c r="E33" s="5"/>
      <c r="F33" s="5"/>
      <c r="G33" s="8">
        <v>7</v>
      </c>
      <c r="H33" s="9" t="s">
        <v>76</v>
      </c>
      <c r="I33" s="8" t="s">
        <v>30</v>
      </c>
      <c r="J33" s="8">
        <v>1</v>
      </c>
      <c r="K33" s="18" t="s">
        <v>21</v>
      </c>
      <c r="L33" s="8">
        <v>60</v>
      </c>
      <c r="M33" s="8" t="s">
        <v>61</v>
      </c>
      <c r="N33" s="11">
        <v>7</v>
      </c>
      <c r="O33" s="12" t="s">
        <v>77</v>
      </c>
      <c r="P33" s="11" t="s">
        <v>16</v>
      </c>
      <c r="Q33" s="19">
        <v>3</v>
      </c>
      <c r="R33" s="18" t="s">
        <v>21</v>
      </c>
      <c r="S33" s="11">
        <v>30</v>
      </c>
    </row>
    <row r="34" spans="1:19" ht="13" customHeight="1" x14ac:dyDescent="0.35">
      <c r="A34" s="1"/>
      <c r="B34" s="15"/>
      <c r="C34" s="16"/>
      <c r="D34" s="15"/>
      <c r="E34" s="15"/>
      <c r="F34" s="15"/>
      <c r="G34" s="15">
        <v>8</v>
      </c>
      <c r="H34" s="16" t="s">
        <v>78</v>
      </c>
      <c r="I34" s="15" t="s">
        <v>27</v>
      </c>
      <c r="J34" s="15">
        <v>1</v>
      </c>
      <c r="K34" s="18" t="s">
        <v>21</v>
      </c>
      <c r="L34" s="15">
        <v>60</v>
      </c>
      <c r="M34" s="15" t="s">
        <v>61</v>
      </c>
      <c r="N34" s="15">
        <v>8</v>
      </c>
      <c r="O34" s="16" t="s">
        <v>79</v>
      </c>
      <c r="P34" s="15" t="s">
        <v>16</v>
      </c>
      <c r="Q34" s="19">
        <v>3</v>
      </c>
      <c r="R34" s="18" t="s">
        <v>21</v>
      </c>
      <c r="S34" s="15">
        <v>30</v>
      </c>
    </row>
    <row r="35" spans="1:19" ht="13" customHeight="1" x14ac:dyDescent="0.35">
      <c r="A35" s="1"/>
      <c r="B35" s="5"/>
      <c r="C35" s="6"/>
      <c r="D35" s="5"/>
      <c r="E35" s="5"/>
      <c r="F35" s="5"/>
      <c r="G35" s="8">
        <v>9</v>
      </c>
      <c r="H35" s="9" t="s">
        <v>80</v>
      </c>
      <c r="I35" s="8" t="s">
        <v>22</v>
      </c>
      <c r="J35" s="8">
        <v>2</v>
      </c>
      <c r="K35" s="18" t="s">
        <v>21</v>
      </c>
      <c r="L35" s="8">
        <v>60</v>
      </c>
      <c r="M35" s="8" t="s">
        <v>61</v>
      </c>
      <c r="N35" s="1"/>
      <c r="O35" s="1"/>
      <c r="P35" s="1"/>
      <c r="Q35" s="1"/>
      <c r="R35" s="1"/>
      <c r="S35" s="1"/>
    </row>
    <row r="36" spans="1:19" ht="18" customHeight="1" x14ac:dyDescent="0.35">
      <c r="A36" s="1"/>
      <c r="B36" s="15"/>
      <c r="C36" s="16"/>
      <c r="D36" s="15"/>
      <c r="E36" s="15"/>
      <c r="F36" s="15"/>
      <c r="G36" s="15">
        <v>10</v>
      </c>
      <c r="H36" s="16" t="s">
        <v>81</v>
      </c>
      <c r="I36" s="15" t="s">
        <v>30</v>
      </c>
      <c r="J36" s="15">
        <v>1</v>
      </c>
      <c r="K36" s="18" t="s">
        <v>21</v>
      </c>
      <c r="L36" s="15">
        <v>60</v>
      </c>
      <c r="M36" s="15" t="s">
        <v>61</v>
      </c>
      <c r="N36" s="47" t="s">
        <v>82</v>
      </c>
      <c r="O36" s="40"/>
      <c r="P36" s="40"/>
      <c r="Q36" s="40"/>
      <c r="R36" s="40"/>
      <c r="S36" s="40"/>
    </row>
    <row r="37" spans="1:19" ht="18" customHeight="1" x14ac:dyDescent="0.35">
      <c r="A37" s="1"/>
      <c r="B37" s="5"/>
      <c r="C37" s="6"/>
      <c r="D37" s="5"/>
      <c r="E37" s="5"/>
      <c r="F37" s="5"/>
      <c r="G37" s="8">
        <v>11</v>
      </c>
      <c r="H37" s="9" t="s">
        <v>83</v>
      </c>
      <c r="I37" s="8" t="s">
        <v>16</v>
      </c>
      <c r="J37" s="8">
        <v>1</v>
      </c>
      <c r="K37" s="18" t="s">
        <v>21</v>
      </c>
      <c r="L37" s="8">
        <v>60</v>
      </c>
      <c r="M37" s="8" t="s">
        <v>61</v>
      </c>
      <c r="N37" s="50" t="s">
        <v>84</v>
      </c>
      <c r="O37" s="40"/>
      <c r="P37" s="40"/>
      <c r="Q37" s="40"/>
      <c r="R37" s="40"/>
      <c r="S37" s="40"/>
    </row>
    <row r="38" spans="1:19" ht="18" customHeight="1" x14ac:dyDescent="0.35">
      <c r="A38" s="1"/>
      <c r="B38" s="15"/>
      <c r="C38" s="16"/>
      <c r="D38" s="15"/>
      <c r="E38" s="15"/>
      <c r="F38" s="15"/>
      <c r="G38" s="15">
        <v>12</v>
      </c>
      <c r="H38" s="16" t="s">
        <v>85</v>
      </c>
      <c r="I38" s="15" t="s">
        <v>16</v>
      </c>
      <c r="J38" s="15">
        <v>1</v>
      </c>
      <c r="K38" s="18" t="s">
        <v>21</v>
      </c>
      <c r="L38" s="15">
        <v>60</v>
      </c>
      <c r="M38" s="15" t="s">
        <v>61</v>
      </c>
      <c r="N38" s="50" t="s">
        <v>86</v>
      </c>
      <c r="O38" s="40"/>
      <c r="P38" s="40"/>
      <c r="Q38" s="40"/>
      <c r="R38" s="40"/>
      <c r="S38" s="40"/>
    </row>
    <row r="39" spans="1:19" ht="18" customHeight="1" x14ac:dyDescent="0.35">
      <c r="A39" s="1"/>
      <c r="B39" s="5"/>
      <c r="C39" s="6"/>
      <c r="D39" s="5"/>
      <c r="E39" s="5"/>
      <c r="F39" s="5"/>
      <c r="G39" s="8">
        <v>13</v>
      </c>
      <c r="H39" s="9" t="s">
        <v>87</v>
      </c>
      <c r="I39" s="8" t="s">
        <v>16</v>
      </c>
      <c r="J39" s="8">
        <v>1</v>
      </c>
      <c r="K39" s="18" t="s">
        <v>21</v>
      </c>
      <c r="L39" s="8">
        <v>60</v>
      </c>
      <c r="M39" s="8" t="s">
        <v>61</v>
      </c>
      <c r="N39" s="50" t="s">
        <v>88</v>
      </c>
      <c r="O39" s="40"/>
      <c r="P39" s="40"/>
      <c r="Q39" s="40"/>
      <c r="R39" s="40"/>
      <c r="S39" s="40"/>
    </row>
    <row r="40" spans="1:19" ht="18" customHeight="1" x14ac:dyDescent="0.35">
      <c r="A40" s="1"/>
      <c r="B40" s="15"/>
      <c r="C40" s="16"/>
      <c r="D40" s="15"/>
      <c r="E40" s="15"/>
      <c r="F40" s="15"/>
      <c r="G40" s="15">
        <v>14</v>
      </c>
      <c r="H40" s="16" t="s">
        <v>89</v>
      </c>
      <c r="I40" s="15" t="s">
        <v>16</v>
      </c>
      <c r="J40" s="15">
        <v>1</v>
      </c>
      <c r="K40" s="18" t="s">
        <v>21</v>
      </c>
      <c r="L40" s="15">
        <v>60</v>
      </c>
      <c r="M40" s="15" t="s">
        <v>61</v>
      </c>
      <c r="N40" s="50" t="s">
        <v>90</v>
      </c>
      <c r="O40" s="40"/>
      <c r="P40" s="40"/>
      <c r="Q40" s="40"/>
      <c r="R40" s="40"/>
      <c r="S40" s="40"/>
    </row>
    <row r="41" spans="1:19" ht="18" customHeight="1" x14ac:dyDescent="0.35">
      <c r="A41" s="1"/>
      <c r="B41" s="5"/>
      <c r="C41" s="6"/>
      <c r="D41" s="5"/>
      <c r="E41" s="5"/>
      <c r="F41" s="5"/>
      <c r="G41" s="8">
        <v>15</v>
      </c>
      <c r="H41" s="9" t="s">
        <v>63</v>
      </c>
      <c r="I41" s="8" t="s">
        <v>22</v>
      </c>
      <c r="J41" s="8">
        <v>2</v>
      </c>
      <c r="K41" s="14" t="s">
        <v>15</v>
      </c>
      <c r="L41" s="8">
        <v>55</v>
      </c>
      <c r="M41" s="8" t="s">
        <v>61</v>
      </c>
      <c r="N41" s="50" t="s">
        <v>91</v>
      </c>
      <c r="O41" s="40"/>
      <c r="P41" s="40"/>
      <c r="Q41" s="40"/>
      <c r="R41" s="40"/>
      <c r="S41" s="40"/>
    </row>
    <row r="42" spans="1:19" ht="14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</sheetData>
  <mergeCells count="42">
    <mergeCell ref="N41:S41"/>
    <mergeCell ref="E5:G5"/>
    <mergeCell ref="K5:M5"/>
    <mergeCell ref="E8:G8"/>
    <mergeCell ref="N37:S37"/>
    <mergeCell ref="Q8:S8"/>
    <mergeCell ref="N40:S40"/>
    <mergeCell ref="J1:J3"/>
    <mergeCell ref="P1:P3"/>
    <mergeCell ref="R1:R3"/>
    <mergeCell ref="H6:J7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B5:D5"/>
    <mergeCell ref="N25:S25"/>
    <mergeCell ref="O1:O3"/>
    <mergeCell ref="L1:L3"/>
    <mergeCell ref="N1:N3"/>
    <mergeCell ref="N6:P7"/>
    <mergeCell ref="Q5:S5"/>
    <mergeCell ref="B8:D8"/>
    <mergeCell ref="B25:F25"/>
    <mergeCell ref="N5:P5"/>
    <mergeCell ref="N8:P8"/>
  </mergeCells>
  <hyperlinks>
    <hyperlink ref="S1" location="'All Leads'!A1" display="📋  All_x000a_Leads ↗" xr:uid="{00000000-0004-0000-0000-000000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9"/>
  <sheetViews>
    <sheetView workbookViewId="0">
      <pane ySplit="1" topLeftCell="A18" activePane="bottomLeft" state="frozen"/>
      <selection pane="bottomLeft"/>
    </sheetView>
  </sheetViews>
  <sheetFormatPr defaultRowHeight="14.5" x14ac:dyDescent="0.35"/>
  <cols>
    <col min="1" max="1" width="34" customWidth="1"/>
    <col min="2" max="2" width="16" customWidth="1"/>
    <col min="3" max="3" width="28" customWidth="1"/>
    <col min="4" max="4" width="18" customWidth="1"/>
    <col min="5" max="5" width="5" customWidth="1"/>
    <col min="6" max="6" width="10" customWidth="1"/>
    <col min="7" max="7" width="16" customWidth="1"/>
    <col min="8" max="8" width="28" customWidth="1"/>
    <col min="9" max="10" width="30" customWidth="1"/>
    <col min="11" max="11" width="25" customWidth="1"/>
  </cols>
  <sheetData>
    <row r="1" spans="1:11" ht="28" customHeight="1" x14ac:dyDescent="0.35">
      <c r="A1" s="20" t="s">
        <v>92</v>
      </c>
      <c r="B1" s="20" t="s">
        <v>55</v>
      </c>
      <c r="C1" s="20" t="s">
        <v>93</v>
      </c>
      <c r="D1" s="20" t="s">
        <v>94</v>
      </c>
      <c r="E1" s="20" t="s">
        <v>95</v>
      </c>
      <c r="F1" s="20" t="s">
        <v>96</v>
      </c>
      <c r="G1" s="20" t="s">
        <v>97</v>
      </c>
      <c r="H1" s="20" t="s">
        <v>98</v>
      </c>
      <c r="I1" s="20" t="s">
        <v>99</v>
      </c>
      <c r="J1" s="20" t="s">
        <v>100</v>
      </c>
      <c r="K1" s="20" t="s">
        <v>101</v>
      </c>
    </row>
    <row r="2" spans="1:11" ht="18" customHeight="1" x14ac:dyDescent="0.35">
      <c r="A2" s="21" t="s">
        <v>102</v>
      </c>
      <c r="B2" s="22" t="s">
        <v>30</v>
      </c>
      <c r="C2" s="21" t="s">
        <v>103</v>
      </c>
      <c r="D2" s="21" t="s">
        <v>104</v>
      </c>
      <c r="E2" s="22" t="s">
        <v>105</v>
      </c>
      <c r="F2" s="22">
        <v>19200</v>
      </c>
      <c r="G2" s="22" t="s">
        <v>106</v>
      </c>
      <c r="H2" s="22" t="s">
        <v>107</v>
      </c>
      <c r="I2" s="22"/>
      <c r="J2" s="22" t="s">
        <v>108</v>
      </c>
      <c r="K2" s="22"/>
    </row>
    <row r="3" spans="1:11" ht="18" customHeight="1" x14ac:dyDescent="0.35">
      <c r="A3" s="23" t="s">
        <v>109</v>
      </c>
      <c r="B3" s="24" t="s">
        <v>30</v>
      </c>
      <c r="C3" s="23" t="s">
        <v>110</v>
      </c>
      <c r="D3" s="23" t="s">
        <v>111</v>
      </c>
      <c r="E3" s="24" t="s">
        <v>112</v>
      </c>
      <c r="F3" s="24">
        <v>19520</v>
      </c>
      <c r="G3" s="24" t="s">
        <v>113</v>
      </c>
      <c r="H3" s="24" t="s">
        <v>107</v>
      </c>
      <c r="I3" s="24"/>
      <c r="J3" s="24"/>
      <c r="K3" s="24"/>
    </row>
    <row r="4" spans="1:11" ht="18" customHeight="1" x14ac:dyDescent="0.35">
      <c r="A4" s="21" t="s">
        <v>114</v>
      </c>
      <c r="B4" s="22" t="s">
        <v>30</v>
      </c>
      <c r="C4" s="21" t="s">
        <v>115</v>
      </c>
      <c r="D4" s="21" t="s">
        <v>116</v>
      </c>
      <c r="E4" s="22" t="s">
        <v>117</v>
      </c>
      <c r="F4" s="22">
        <v>17732</v>
      </c>
      <c r="G4" s="22" t="s">
        <v>118</v>
      </c>
      <c r="H4" s="22" t="s">
        <v>107</v>
      </c>
      <c r="I4" s="22"/>
      <c r="J4" s="22" t="s">
        <v>119</v>
      </c>
      <c r="K4" s="22"/>
    </row>
    <row r="5" spans="1:11" ht="18" customHeight="1" x14ac:dyDescent="0.35">
      <c r="A5" s="23" t="s">
        <v>120</v>
      </c>
      <c r="B5" s="24" t="s">
        <v>30</v>
      </c>
      <c r="C5" s="23" t="s">
        <v>121</v>
      </c>
      <c r="D5" s="23" t="s">
        <v>122</v>
      </c>
      <c r="E5" s="24" t="s">
        <v>123</v>
      </c>
      <c r="F5" s="24">
        <v>20333</v>
      </c>
      <c r="G5" s="24" t="s">
        <v>124</v>
      </c>
      <c r="H5" s="24" t="s">
        <v>107</v>
      </c>
      <c r="I5" s="24"/>
      <c r="J5" s="24"/>
      <c r="K5" s="24"/>
    </row>
    <row r="6" spans="1:11" ht="18" customHeight="1" x14ac:dyDescent="0.35">
      <c r="A6" s="21" t="s">
        <v>125</v>
      </c>
      <c r="B6" s="22" t="s">
        <v>30</v>
      </c>
      <c r="C6" s="21" t="s">
        <v>126</v>
      </c>
      <c r="D6" s="21" t="s">
        <v>127</v>
      </c>
      <c r="E6" s="22" t="s">
        <v>128</v>
      </c>
      <c r="F6" s="22">
        <v>18064</v>
      </c>
      <c r="G6" s="22" t="s">
        <v>129</v>
      </c>
      <c r="H6" s="22" t="s">
        <v>107</v>
      </c>
      <c r="I6" s="22"/>
      <c r="J6" s="22"/>
      <c r="K6" s="22"/>
    </row>
    <row r="7" spans="1:11" ht="18" customHeight="1" x14ac:dyDescent="0.35">
      <c r="A7" s="23" t="s">
        <v>130</v>
      </c>
      <c r="B7" s="24" t="s">
        <v>30</v>
      </c>
      <c r="C7" s="23" t="s">
        <v>131</v>
      </c>
      <c r="D7" s="23" t="s">
        <v>132</v>
      </c>
      <c r="E7" s="24" t="s">
        <v>128</v>
      </c>
      <c r="F7" s="24">
        <v>18997</v>
      </c>
      <c r="G7" s="24" t="s">
        <v>113</v>
      </c>
      <c r="H7" s="24" t="s">
        <v>107</v>
      </c>
      <c r="I7" s="24"/>
      <c r="J7" s="24"/>
      <c r="K7" s="24"/>
    </row>
    <row r="8" spans="1:11" ht="18" customHeight="1" x14ac:dyDescent="0.35">
      <c r="A8" s="21" t="s">
        <v>133</v>
      </c>
      <c r="B8" s="22" t="s">
        <v>30</v>
      </c>
      <c r="C8" s="21" t="s">
        <v>134</v>
      </c>
      <c r="D8" s="21" t="s">
        <v>135</v>
      </c>
      <c r="E8" s="22" t="s">
        <v>136</v>
      </c>
      <c r="F8" s="22">
        <v>18306</v>
      </c>
      <c r="G8" s="22" t="s">
        <v>137</v>
      </c>
      <c r="H8" s="22" t="s">
        <v>107</v>
      </c>
      <c r="I8" s="22"/>
      <c r="J8" s="22" t="s">
        <v>138</v>
      </c>
      <c r="K8" s="22"/>
    </row>
    <row r="9" spans="1:11" ht="18" customHeight="1" x14ac:dyDescent="0.35">
      <c r="A9" s="23" t="s">
        <v>139</v>
      </c>
      <c r="B9" s="24" t="s">
        <v>30</v>
      </c>
      <c r="C9" s="23" t="s">
        <v>140</v>
      </c>
      <c r="D9" s="23" t="s">
        <v>141</v>
      </c>
      <c r="E9" s="24" t="s">
        <v>142</v>
      </c>
      <c r="F9" s="24">
        <v>17794</v>
      </c>
      <c r="G9" s="24" t="s">
        <v>143</v>
      </c>
      <c r="H9" s="24" t="s">
        <v>107</v>
      </c>
      <c r="I9" s="24"/>
      <c r="J9" s="24" t="s">
        <v>144</v>
      </c>
      <c r="K9" s="24"/>
    </row>
    <row r="10" spans="1:11" ht="18" customHeight="1" x14ac:dyDescent="0.35">
      <c r="A10" s="21" t="s">
        <v>145</v>
      </c>
      <c r="B10" s="22" t="s">
        <v>30</v>
      </c>
      <c r="C10" s="21" t="s">
        <v>146</v>
      </c>
      <c r="D10" s="21" t="s">
        <v>147</v>
      </c>
      <c r="E10" s="22" t="s">
        <v>148</v>
      </c>
      <c r="F10" s="22">
        <v>17341</v>
      </c>
      <c r="G10" s="22" t="s">
        <v>149</v>
      </c>
      <c r="H10" s="22" t="s">
        <v>107</v>
      </c>
      <c r="I10" s="22"/>
      <c r="J10" s="22" t="s">
        <v>146</v>
      </c>
      <c r="K10" s="22"/>
    </row>
    <row r="11" spans="1:11" ht="18" customHeight="1" x14ac:dyDescent="0.35">
      <c r="A11" s="23" t="s">
        <v>150</v>
      </c>
      <c r="B11" s="24" t="s">
        <v>30</v>
      </c>
      <c r="C11" s="23" t="s">
        <v>151</v>
      </c>
      <c r="D11" s="23" t="s">
        <v>152</v>
      </c>
      <c r="E11" s="24" t="s">
        <v>105</v>
      </c>
      <c r="F11" s="24">
        <v>18354</v>
      </c>
      <c r="G11" s="24" t="s">
        <v>153</v>
      </c>
      <c r="H11" s="24" t="s">
        <v>107</v>
      </c>
      <c r="I11" s="24"/>
      <c r="J11" s="24" t="s">
        <v>154</v>
      </c>
      <c r="K11" s="24"/>
    </row>
    <row r="12" spans="1:11" ht="18" customHeight="1" x14ac:dyDescent="0.35">
      <c r="A12" s="21" t="s">
        <v>155</v>
      </c>
      <c r="B12" s="22" t="s">
        <v>30</v>
      </c>
      <c r="C12" s="21" t="s">
        <v>156</v>
      </c>
      <c r="D12" s="21" t="s">
        <v>157</v>
      </c>
      <c r="E12" s="22" t="s">
        <v>158</v>
      </c>
      <c r="F12" s="22">
        <v>17923</v>
      </c>
      <c r="G12" s="22" t="s">
        <v>113</v>
      </c>
      <c r="H12" s="22" t="s">
        <v>107</v>
      </c>
      <c r="I12" s="22"/>
      <c r="J12" s="22" t="s">
        <v>159</v>
      </c>
      <c r="K12" s="22"/>
    </row>
    <row r="13" spans="1:11" ht="18" customHeight="1" x14ac:dyDescent="0.35">
      <c r="A13" s="23" t="s">
        <v>160</v>
      </c>
      <c r="B13" s="24" t="s">
        <v>30</v>
      </c>
      <c r="C13" s="23" t="s">
        <v>161</v>
      </c>
      <c r="D13" s="23" t="s">
        <v>162</v>
      </c>
      <c r="E13" s="24" t="s">
        <v>128</v>
      </c>
      <c r="F13" s="24">
        <v>17611</v>
      </c>
      <c r="G13" s="24" t="s">
        <v>163</v>
      </c>
      <c r="H13" s="24" t="s">
        <v>107</v>
      </c>
      <c r="I13" s="24"/>
      <c r="J13" s="24" t="s">
        <v>164</v>
      </c>
      <c r="K13" s="24"/>
    </row>
    <row r="14" spans="1:11" ht="18" customHeight="1" x14ac:dyDescent="0.35">
      <c r="A14" s="21" t="s">
        <v>165</v>
      </c>
      <c r="B14" s="22" t="s">
        <v>30</v>
      </c>
      <c r="C14" s="21" t="s">
        <v>166</v>
      </c>
      <c r="D14" s="21" t="s">
        <v>167</v>
      </c>
      <c r="E14" s="22" t="s">
        <v>128</v>
      </c>
      <c r="F14" s="22">
        <v>18000</v>
      </c>
      <c r="G14" s="22" t="s">
        <v>168</v>
      </c>
      <c r="H14" s="22" t="s">
        <v>107</v>
      </c>
      <c r="I14" s="22"/>
      <c r="J14" s="22"/>
      <c r="K14" s="22"/>
    </row>
    <row r="15" spans="1:11" ht="18" customHeight="1" x14ac:dyDescent="0.35">
      <c r="A15" s="23" t="s">
        <v>169</v>
      </c>
      <c r="B15" s="24" t="s">
        <v>30</v>
      </c>
      <c r="C15" s="23" t="s">
        <v>170</v>
      </c>
      <c r="D15" s="23" t="s">
        <v>171</v>
      </c>
      <c r="E15" s="24" t="s">
        <v>172</v>
      </c>
      <c r="F15" s="24">
        <v>19600</v>
      </c>
      <c r="G15" s="24" t="s">
        <v>113</v>
      </c>
      <c r="H15" s="24" t="s">
        <v>107</v>
      </c>
      <c r="I15" s="24"/>
      <c r="J15" s="24" t="s">
        <v>173</v>
      </c>
      <c r="K15" s="24"/>
    </row>
    <row r="16" spans="1:11" ht="18" customHeight="1" x14ac:dyDescent="0.35">
      <c r="A16" s="21" t="s">
        <v>174</v>
      </c>
      <c r="B16" s="22" t="s">
        <v>30</v>
      </c>
      <c r="C16" s="21" t="s">
        <v>175</v>
      </c>
      <c r="D16" s="21" t="s">
        <v>176</v>
      </c>
      <c r="E16" s="22" t="s">
        <v>172</v>
      </c>
      <c r="F16" s="22">
        <v>18846</v>
      </c>
      <c r="G16" s="22" t="s">
        <v>177</v>
      </c>
      <c r="H16" s="22" t="s">
        <v>107</v>
      </c>
      <c r="I16" s="22"/>
      <c r="J16" s="22" t="s">
        <v>178</v>
      </c>
      <c r="K16" s="22"/>
    </row>
    <row r="17" spans="1:11" ht="18" customHeight="1" x14ac:dyDescent="0.35">
      <c r="A17" s="23" t="s">
        <v>179</v>
      </c>
      <c r="B17" s="24" t="s">
        <v>30</v>
      </c>
      <c r="C17" s="23" t="s">
        <v>180</v>
      </c>
      <c r="D17" s="23" t="s">
        <v>181</v>
      </c>
      <c r="E17" s="24" t="s">
        <v>182</v>
      </c>
      <c r="F17" s="24">
        <v>20332</v>
      </c>
      <c r="G17" s="24" t="s">
        <v>183</v>
      </c>
      <c r="H17" s="24" t="s">
        <v>107</v>
      </c>
      <c r="I17" s="24"/>
      <c r="J17" s="24" t="s">
        <v>184</v>
      </c>
      <c r="K17" s="24"/>
    </row>
    <row r="18" spans="1:11" ht="18" customHeight="1" x14ac:dyDescent="0.35">
      <c r="A18" s="21" t="s">
        <v>185</v>
      </c>
      <c r="B18" s="22" t="s">
        <v>30</v>
      </c>
      <c r="C18" s="21" t="s">
        <v>186</v>
      </c>
      <c r="D18" s="21" t="s">
        <v>187</v>
      </c>
      <c r="E18" s="22" t="s">
        <v>117</v>
      </c>
      <c r="F18" s="22">
        <v>19812</v>
      </c>
      <c r="G18" s="22" t="s">
        <v>188</v>
      </c>
      <c r="H18" s="22" t="s">
        <v>107</v>
      </c>
      <c r="I18" s="22"/>
      <c r="J18" s="22"/>
      <c r="K18" s="22"/>
    </row>
    <row r="19" spans="1:11" ht="18" customHeight="1" x14ac:dyDescent="0.35">
      <c r="A19" s="23" t="s">
        <v>189</v>
      </c>
      <c r="B19" s="24" t="s">
        <v>30</v>
      </c>
      <c r="C19" s="23" t="s">
        <v>190</v>
      </c>
      <c r="D19" s="23" t="s">
        <v>191</v>
      </c>
      <c r="E19" s="24" t="s">
        <v>192</v>
      </c>
      <c r="F19" s="24">
        <v>19411</v>
      </c>
      <c r="G19" s="24" t="s">
        <v>193</v>
      </c>
      <c r="H19" s="24" t="s">
        <v>107</v>
      </c>
      <c r="I19" s="24"/>
      <c r="J19" s="24" t="s">
        <v>194</v>
      </c>
      <c r="K19" s="24"/>
    </row>
    <row r="20" spans="1:11" ht="18" customHeight="1" x14ac:dyDescent="0.35">
      <c r="A20" s="21" t="s">
        <v>195</v>
      </c>
      <c r="B20" s="22" t="s">
        <v>30</v>
      </c>
      <c r="C20" s="21" t="s">
        <v>196</v>
      </c>
      <c r="D20" s="21" t="s">
        <v>197</v>
      </c>
      <c r="E20" s="22" t="s">
        <v>198</v>
      </c>
      <c r="F20" s="22">
        <v>17071</v>
      </c>
      <c r="G20" s="22" t="s">
        <v>199</v>
      </c>
      <c r="H20" s="22" t="s">
        <v>107</v>
      </c>
      <c r="I20" s="22"/>
      <c r="J20" s="22" t="s">
        <v>200</v>
      </c>
      <c r="K20" s="22"/>
    </row>
    <row r="21" spans="1:11" ht="18" customHeight="1" x14ac:dyDescent="0.35">
      <c r="A21" s="23" t="s">
        <v>201</v>
      </c>
      <c r="B21" s="24" t="s">
        <v>30</v>
      </c>
      <c r="C21" s="23" t="s">
        <v>202</v>
      </c>
      <c r="D21" s="23" t="s">
        <v>203</v>
      </c>
      <c r="E21" s="24" t="s">
        <v>204</v>
      </c>
      <c r="F21" s="24">
        <v>18203</v>
      </c>
      <c r="G21" s="24" t="s">
        <v>153</v>
      </c>
      <c r="H21" s="24" t="s">
        <v>107</v>
      </c>
      <c r="I21" s="24"/>
      <c r="J21" s="24" t="s">
        <v>205</v>
      </c>
      <c r="K21" s="24"/>
    </row>
    <row r="22" spans="1:11" ht="18" customHeight="1" x14ac:dyDescent="0.35">
      <c r="A22" s="21" t="s">
        <v>206</v>
      </c>
      <c r="B22" s="22" t="s">
        <v>30</v>
      </c>
      <c r="C22" s="21" t="s">
        <v>207</v>
      </c>
      <c r="D22" s="21" t="s">
        <v>208</v>
      </c>
      <c r="E22" s="22" t="s">
        <v>209</v>
      </c>
      <c r="F22" s="22">
        <v>19432</v>
      </c>
      <c r="G22" s="22" t="s">
        <v>210</v>
      </c>
      <c r="H22" s="22" t="s">
        <v>107</v>
      </c>
      <c r="I22" s="22"/>
      <c r="J22" s="22" t="s">
        <v>211</v>
      </c>
      <c r="K22" s="22"/>
    </row>
    <row r="23" spans="1:11" ht="18" customHeight="1" x14ac:dyDescent="0.35">
      <c r="A23" s="23" t="s">
        <v>212</v>
      </c>
      <c r="B23" s="24" t="s">
        <v>30</v>
      </c>
      <c r="C23" s="23" t="s">
        <v>213</v>
      </c>
      <c r="D23" s="23" t="s">
        <v>214</v>
      </c>
      <c r="E23" s="24" t="s">
        <v>215</v>
      </c>
      <c r="F23" s="24">
        <v>16867</v>
      </c>
      <c r="G23" s="24" t="s">
        <v>113</v>
      </c>
      <c r="H23" s="24" t="s">
        <v>107</v>
      </c>
      <c r="I23" s="24"/>
      <c r="J23" s="24" t="s">
        <v>205</v>
      </c>
      <c r="K23" s="24"/>
    </row>
    <row r="24" spans="1:11" ht="18" customHeight="1" x14ac:dyDescent="0.35">
      <c r="A24" s="21" t="s">
        <v>216</v>
      </c>
      <c r="B24" s="22" t="s">
        <v>30</v>
      </c>
      <c r="C24" s="21" t="s">
        <v>217</v>
      </c>
      <c r="D24" s="21" t="s">
        <v>218</v>
      </c>
      <c r="E24" s="22" t="s">
        <v>219</v>
      </c>
      <c r="F24" s="22">
        <v>19077</v>
      </c>
      <c r="G24" s="22" t="s">
        <v>220</v>
      </c>
      <c r="H24" s="22" t="s">
        <v>107</v>
      </c>
      <c r="I24" s="22"/>
      <c r="J24" s="22" t="s">
        <v>221</v>
      </c>
      <c r="K24" s="22"/>
    </row>
    <row r="25" spans="1:11" ht="18" customHeight="1" x14ac:dyDescent="0.35">
      <c r="A25" s="23" t="s">
        <v>222</v>
      </c>
      <c r="B25" s="24" t="s">
        <v>30</v>
      </c>
      <c r="C25" s="23" t="s">
        <v>223</v>
      </c>
      <c r="D25" s="23" t="s">
        <v>224</v>
      </c>
      <c r="E25" s="24" t="s">
        <v>225</v>
      </c>
      <c r="F25" s="24">
        <v>17044</v>
      </c>
      <c r="G25" s="24" t="s">
        <v>113</v>
      </c>
      <c r="H25" s="24" t="s">
        <v>107</v>
      </c>
      <c r="I25" s="24"/>
      <c r="J25" s="24" t="s">
        <v>223</v>
      </c>
      <c r="K25" s="24"/>
    </row>
    <row r="26" spans="1:11" ht="18" customHeight="1" x14ac:dyDescent="0.35">
      <c r="A26" s="21" t="s">
        <v>226</v>
      </c>
      <c r="B26" s="22" t="s">
        <v>30</v>
      </c>
      <c r="C26" s="21" t="s">
        <v>227</v>
      </c>
      <c r="D26" s="21" t="s">
        <v>228</v>
      </c>
      <c r="E26" s="22" t="s">
        <v>229</v>
      </c>
      <c r="F26" s="22">
        <v>18024</v>
      </c>
      <c r="G26" s="22" t="s">
        <v>230</v>
      </c>
      <c r="H26" s="22" t="s">
        <v>107</v>
      </c>
      <c r="I26" s="22"/>
      <c r="J26" s="22" t="s">
        <v>231</v>
      </c>
      <c r="K26" s="22"/>
    </row>
    <row r="27" spans="1:11" ht="18" customHeight="1" x14ac:dyDescent="0.35">
      <c r="A27" s="23" t="s">
        <v>232</v>
      </c>
      <c r="B27" s="24" t="s">
        <v>30</v>
      </c>
      <c r="C27" s="23" t="s">
        <v>233</v>
      </c>
      <c r="D27" s="23" t="s">
        <v>234</v>
      </c>
      <c r="E27" s="24" t="s">
        <v>235</v>
      </c>
      <c r="F27" s="24">
        <v>18624</v>
      </c>
      <c r="G27" s="24" t="s">
        <v>193</v>
      </c>
      <c r="H27" s="24" t="s">
        <v>107</v>
      </c>
      <c r="I27" s="24"/>
      <c r="J27" s="24" t="s">
        <v>236</v>
      </c>
      <c r="K27" s="24"/>
    </row>
    <row r="28" spans="1:11" ht="18" customHeight="1" x14ac:dyDescent="0.35">
      <c r="A28" s="21" t="s">
        <v>237</v>
      </c>
      <c r="B28" s="22" t="s">
        <v>30</v>
      </c>
      <c r="C28" s="21" t="s">
        <v>238</v>
      </c>
      <c r="D28" s="21" t="s">
        <v>239</v>
      </c>
      <c r="E28" s="22" t="s">
        <v>105</v>
      </c>
      <c r="F28" s="22">
        <v>18055</v>
      </c>
      <c r="G28" s="22" t="s">
        <v>240</v>
      </c>
      <c r="H28" s="22" t="s">
        <v>107</v>
      </c>
      <c r="I28" s="22"/>
      <c r="J28" s="22" t="s">
        <v>241</v>
      </c>
      <c r="K28" s="22"/>
    </row>
    <row r="29" spans="1:11" ht="18" customHeight="1" x14ac:dyDescent="0.35">
      <c r="A29" s="23" t="s">
        <v>242</v>
      </c>
      <c r="B29" s="24" t="s">
        <v>30</v>
      </c>
      <c r="C29" s="23" t="s">
        <v>243</v>
      </c>
      <c r="D29" s="23" t="s">
        <v>244</v>
      </c>
      <c r="E29" s="24" t="s">
        <v>245</v>
      </c>
      <c r="F29" s="24">
        <v>20917</v>
      </c>
      <c r="G29" s="24" t="s">
        <v>210</v>
      </c>
      <c r="H29" s="24" t="s">
        <v>107</v>
      </c>
      <c r="I29" s="24"/>
      <c r="J29" s="24" t="s">
        <v>246</v>
      </c>
      <c r="K29" s="24"/>
    </row>
    <row r="30" spans="1:11" ht="18" customHeight="1" x14ac:dyDescent="0.35">
      <c r="A30" s="21" t="s">
        <v>247</v>
      </c>
      <c r="B30" s="22" t="s">
        <v>30</v>
      </c>
      <c r="C30" s="21" t="s">
        <v>248</v>
      </c>
      <c r="D30" s="21" t="s">
        <v>249</v>
      </c>
      <c r="E30" s="22" t="s">
        <v>250</v>
      </c>
      <c r="F30" s="22">
        <v>20007</v>
      </c>
      <c r="G30" s="22" t="s">
        <v>251</v>
      </c>
      <c r="H30" s="22" t="s">
        <v>107</v>
      </c>
      <c r="I30" s="22"/>
      <c r="J30" s="22" t="s">
        <v>252</v>
      </c>
      <c r="K30" s="22"/>
    </row>
    <row r="31" spans="1:11" ht="18" customHeight="1" x14ac:dyDescent="0.35">
      <c r="A31" s="23" t="s">
        <v>253</v>
      </c>
      <c r="B31" s="24" t="s">
        <v>22</v>
      </c>
      <c r="C31" s="23" t="s">
        <v>254</v>
      </c>
      <c r="D31" s="23" t="s">
        <v>255</v>
      </c>
      <c r="E31" s="24" t="s">
        <v>250</v>
      </c>
      <c r="F31" s="24">
        <v>68984</v>
      </c>
      <c r="G31" s="24" t="s">
        <v>106</v>
      </c>
      <c r="H31" s="24" t="s">
        <v>107</v>
      </c>
      <c r="I31" s="24"/>
      <c r="J31" s="24" t="s">
        <v>256</v>
      </c>
      <c r="K31" s="24"/>
    </row>
    <row r="32" spans="1:11" ht="18" customHeight="1" x14ac:dyDescent="0.35">
      <c r="A32" s="21" t="s">
        <v>257</v>
      </c>
      <c r="B32" s="22" t="s">
        <v>22</v>
      </c>
      <c r="C32" s="21" t="s">
        <v>258</v>
      </c>
      <c r="D32" s="21" t="s">
        <v>259</v>
      </c>
      <c r="E32" s="22" t="s">
        <v>260</v>
      </c>
      <c r="F32" s="22">
        <v>66000</v>
      </c>
      <c r="G32" s="22" t="s">
        <v>261</v>
      </c>
      <c r="H32" s="22" t="s">
        <v>107</v>
      </c>
      <c r="I32" s="22"/>
      <c r="J32" s="22" t="s">
        <v>262</v>
      </c>
      <c r="K32" s="22"/>
    </row>
    <row r="33" spans="1:11" ht="18" customHeight="1" x14ac:dyDescent="0.35">
      <c r="A33" s="23" t="s">
        <v>263</v>
      </c>
      <c r="B33" s="24" t="s">
        <v>22</v>
      </c>
      <c r="C33" s="23" t="s">
        <v>264</v>
      </c>
      <c r="D33" s="23" t="s">
        <v>265</v>
      </c>
      <c r="E33" s="24" t="s">
        <v>266</v>
      </c>
      <c r="F33" s="24">
        <v>79456</v>
      </c>
      <c r="G33" s="24" t="s">
        <v>267</v>
      </c>
      <c r="H33" s="24" t="s">
        <v>107</v>
      </c>
      <c r="I33" s="24"/>
      <c r="J33" s="24" t="s">
        <v>268</v>
      </c>
      <c r="K33" s="24"/>
    </row>
    <row r="34" spans="1:11" ht="18" customHeight="1" x14ac:dyDescent="0.35">
      <c r="A34" s="21" t="s">
        <v>269</v>
      </c>
      <c r="B34" s="22" t="s">
        <v>22</v>
      </c>
      <c r="C34" s="21" t="s">
        <v>270</v>
      </c>
      <c r="D34" s="21" t="s">
        <v>271</v>
      </c>
      <c r="E34" s="22" t="s">
        <v>105</v>
      </c>
      <c r="F34" s="22">
        <v>80000</v>
      </c>
      <c r="G34" s="22" t="s">
        <v>272</v>
      </c>
      <c r="H34" s="22" t="s">
        <v>107</v>
      </c>
      <c r="I34" s="22"/>
      <c r="J34" s="22" t="s">
        <v>270</v>
      </c>
      <c r="K34" s="22"/>
    </row>
    <row r="35" spans="1:11" ht="18" customHeight="1" x14ac:dyDescent="0.35">
      <c r="A35" s="23" t="s">
        <v>273</v>
      </c>
      <c r="B35" s="24" t="s">
        <v>22</v>
      </c>
      <c r="C35" s="23" t="s">
        <v>274</v>
      </c>
      <c r="D35" s="23" t="s">
        <v>218</v>
      </c>
      <c r="E35" s="24" t="s">
        <v>219</v>
      </c>
      <c r="F35" s="24">
        <v>75037</v>
      </c>
      <c r="G35" s="24" t="s">
        <v>251</v>
      </c>
      <c r="H35" s="24" t="s">
        <v>107</v>
      </c>
      <c r="I35" s="24"/>
      <c r="J35" s="24" t="s">
        <v>275</v>
      </c>
      <c r="K35" s="24"/>
    </row>
    <row r="36" spans="1:11" ht="18" customHeight="1" x14ac:dyDescent="0.35">
      <c r="A36" s="21" t="s">
        <v>276</v>
      </c>
      <c r="B36" s="22" t="s">
        <v>22</v>
      </c>
      <c r="C36" s="21" t="s">
        <v>277</v>
      </c>
      <c r="D36" s="21" t="s">
        <v>214</v>
      </c>
      <c r="E36" s="22" t="s">
        <v>215</v>
      </c>
      <c r="F36" s="22">
        <v>73208</v>
      </c>
      <c r="G36" s="22" t="s">
        <v>278</v>
      </c>
      <c r="H36" s="22" t="s">
        <v>107</v>
      </c>
      <c r="I36" s="22"/>
      <c r="J36" s="22" t="s">
        <v>231</v>
      </c>
      <c r="K36" s="22"/>
    </row>
    <row r="37" spans="1:11" ht="18" customHeight="1" x14ac:dyDescent="0.35">
      <c r="A37" s="23" t="s">
        <v>279</v>
      </c>
      <c r="B37" s="24" t="s">
        <v>22</v>
      </c>
      <c r="C37" s="23" t="s">
        <v>280</v>
      </c>
      <c r="D37" s="23" t="s">
        <v>111</v>
      </c>
      <c r="E37" s="24" t="s">
        <v>112</v>
      </c>
      <c r="F37" s="24">
        <v>76125</v>
      </c>
      <c r="G37" s="24" t="s">
        <v>106</v>
      </c>
      <c r="H37" s="24" t="s">
        <v>107</v>
      </c>
      <c r="I37" s="24"/>
      <c r="J37" s="24"/>
      <c r="K37" s="24"/>
    </row>
    <row r="38" spans="1:11" ht="18" customHeight="1" x14ac:dyDescent="0.35">
      <c r="A38" s="21" t="s">
        <v>281</v>
      </c>
      <c r="B38" s="22" t="s">
        <v>22</v>
      </c>
      <c r="C38" s="21" t="s">
        <v>282</v>
      </c>
      <c r="D38" s="21" t="s">
        <v>283</v>
      </c>
      <c r="E38" s="22" t="s">
        <v>172</v>
      </c>
      <c r="F38" s="22">
        <v>69132</v>
      </c>
      <c r="G38" s="22" t="s">
        <v>193</v>
      </c>
      <c r="H38" s="22" t="s">
        <v>107</v>
      </c>
      <c r="I38" s="22"/>
      <c r="J38" s="22" t="s">
        <v>205</v>
      </c>
      <c r="K38" s="22"/>
    </row>
    <row r="39" spans="1:11" ht="18" customHeight="1" x14ac:dyDescent="0.35">
      <c r="A39" s="23" t="s">
        <v>284</v>
      </c>
      <c r="B39" s="24" t="s">
        <v>22</v>
      </c>
      <c r="C39" s="23" t="s">
        <v>285</v>
      </c>
      <c r="D39" s="23" t="s">
        <v>181</v>
      </c>
      <c r="E39" s="24" t="s">
        <v>182</v>
      </c>
      <c r="F39" s="24">
        <v>65000</v>
      </c>
      <c r="G39" s="24" t="s">
        <v>153</v>
      </c>
      <c r="H39" s="24" t="s">
        <v>107</v>
      </c>
      <c r="I39" s="24"/>
      <c r="J39" s="24" t="s">
        <v>285</v>
      </c>
      <c r="K39" s="24"/>
    </row>
    <row r="40" spans="1:11" ht="18" customHeight="1" x14ac:dyDescent="0.35">
      <c r="A40" s="21" t="s">
        <v>286</v>
      </c>
      <c r="B40" s="22" t="s">
        <v>22</v>
      </c>
      <c r="C40" s="21" t="s">
        <v>287</v>
      </c>
      <c r="D40" s="21" t="s">
        <v>288</v>
      </c>
      <c r="E40" s="22" t="s">
        <v>235</v>
      </c>
      <c r="F40" s="22">
        <v>66829</v>
      </c>
      <c r="G40" s="22" t="s">
        <v>153</v>
      </c>
      <c r="H40" s="22" t="s">
        <v>107</v>
      </c>
      <c r="I40" s="22"/>
      <c r="J40" s="22" t="s">
        <v>289</v>
      </c>
      <c r="K40" s="22"/>
    </row>
    <row r="41" spans="1:11" ht="18" customHeight="1" x14ac:dyDescent="0.35">
      <c r="A41" s="23" t="s">
        <v>290</v>
      </c>
      <c r="B41" s="24" t="s">
        <v>22</v>
      </c>
      <c r="C41" s="23" t="s">
        <v>291</v>
      </c>
      <c r="D41" s="23" t="s">
        <v>292</v>
      </c>
      <c r="E41" s="24" t="s">
        <v>172</v>
      </c>
      <c r="F41" s="24">
        <v>65326</v>
      </c>
      <c r="G41" s="24" t="s">
        <v>293</v>
      </c>
      <c r="H41" s="24" t="s">
        <v>107</v>
      </c>
      <c r="I41" s="24"/>
      <c r="J41" s="24"/>
      <c r="K41" s="24"/>
    </row>
    <row r="42" spans="1:11" ht="18" customHeight="1" x14ac:dyDescent="0.35">
      <c r="A42" s="21" t="s">
        <v>294</v>
      </c>
      <c r="B42" s="22" t="s">
        <v>22</v>
      </c>
      <c r="C42" s="21" t="s">
        <v>295</v>
      </c>
      <c r="D42" s="21" t="s">
        <v>296</v>
      </c>
      <c r="E42" s="22" t="s">
        <v>117</v>
      </c>
      <c r="F42" s="22">
        <v>63000</v>
      </c>
      <c r="G42" s="22" t="s">
        <v>297</v>
      </c>
      <c r="H42" s="22" t="s">
        <v>107</v>
      </c>
      <c r="I42" s="22"/>
      <c r="J42" s="22" t="s">
        <v>298</v>
      </c>
      <c r="K42" s="22"/>
    </row>
    <row r="43" spans="1:11" ht="18" customHeight="1" x14ac:dyDescent="0.35">
      <c r="A43" s="23" t="s">
        <v>299</v>
      </c>
      <c r="B43" s="24" t="s">
        <v>22</v>
      </c>
      <c r="C43" s="23" t="s">
        <v>300</v>
      </c>
      <c r="D43" s="23" t="s">
        <v>208</v>
      </c>
      <c r="E43" s="24" t="s">
        <v>209</v>
      </c>
      <c r="F43" s="24">
        <v>67895</v>
      </c>
      <c r="G43" s="24" t="s">
        <v>113</v>
      </c>
      <c r="H43" s="24" t="s">
        <v>107</v>
      </c>
      <c r="I43" s="24"/>
      <c r="J43" s="24" t="s">
        <v>300</v>
      </c>
      <c r="K43" s="24"/>
    </row>
    <row r="44" spans="1:11" ht="18" customHeight="1" x14ac:dyDescent="0.35">
      <c r="A44" s="21" t="s">
        <v>301</v>
      </c>
      <c r="B44" s="22" t="s">
        <v>22</v>
      </c>
      <c r="C44" s="21" t="s">
        <v>302</v>
      </c>
      <c r="D44" s="21" t="s">
        <v>303</v>
      </c>
      <c r="E44" s="22" t="s">
        <v>148</v>
      </c>
      <c r="F44" s="22">
        <v>81441</v>
      </c>
      <c r="G44" s="22" t="s">
        <v>304</v>
      </c>
      <c r="H44" s="22" t="s">
        <v>107</v>
      </c>
      <c r="I44" s="22"/>
      <c r="J44" s="22"/>
      <c r="K44" s="22"/>
    </row>
    <row r="45" spans="1:11" ht="18" customHeight="1" x14ac:dyDescent="0.35">
      <c r="A45" s="23" t="s">
        <v>305</v>
      </c>
      <c r="B45" s="24" t="s">
        <v>22</v>
      </c>
      <c r="C45" s="23" t="s">
        <v>306</v>
      </c>
      <c r="D45" s="23" t="s">
        <v>307</v>
      </c>
      <c r="E45" s="24" t="s">
        <v>128</v>
      </c>
      <c r="F45" s="24">
        <v>68500</v>
      </c>
      <c r="G45" s="24" t="s">
        <v>308</v>
      </c>
      <c r="H45" s="24" t="s">
        <v>107</v>
      </c>
      <c r="I45" s="24"/>
      <c r="J45" s="24" t="s">
        <v>309</v>
      </c>
      <c r="K45" s="24"/>
    </row>
    <row r="46" spans="1:11" ht="18" customHeight="1" x14ac:dyDescent="0.35">
      <c r="A46" s="21" t="s">
        <v>310</v>
      </c>
      <c r="B46" s="22" t="s">
        <v>22</v>
      </c>
      <c r="C46" s="21" t="s">
        <v>311</v>
      </c>
      <c r="D46" s="21" t="s">
        <v>249</v>
      </c>
      <c r="E46" s="22" t="s">
        <v>250</v>
      </c>
      <c r="F46" s="22">
        <v>69596</v>
      </c>
      <c r="G46" s="22" t="s">
        <v>240</v>
      </c>
      <c r="H46" s="22" t="s">
        <v>107</v>
      </c>
      <c r="I46" s="22"/>
      <c r="J46" s="22" t="s">
        <v>311</v>
      </c>
      <c r="K46" s="22"/>
    </row>
    <row r="47" spans="1:11" ht="18" customHeight="1" x14ac:dyDescent="0.35">
      <c r="A47" s="23" t="s">
        <v>312</v>
      </c>
      <c r="B47" s="24" t="s">
        <v>22</v>
      </c>
      <c r="C47" s="23" t="s">
        <v>313</v>
      </c>
      <c r="D47" s="23" t="s">
        <v>157</v>
      </c>
      <c r="E47" s="24" t="s">
        <v>158</v>
      </c>
      <c r="F47" s="24">
        <v>67000</v>
      </c>
      <c r="G47" s="24" t="s">
        <v>314</v>
      </c>
      <c r="H47" s="24" t="s">
        <v>107</v>
      </c>
      <c r="I47" s="24"/>
      <c r="J47" s="24" t="s">
        <v>159</v>
      </c>
      <c r="K47" s="24"/>
    </row>
    <row r="48" spans="1:11" ht="18" customHeight="1" x14ac:dyDescent="0.35">
      <c r="A48" s="21" t="s">
        <v>315</v>
      </c>
      <c r="B48" s="22" t="s">
        <v>22</v>
      </c>
      <c r="C48" s="21" t="s">
        <v>316</v>
      </c>
      <c r="D48" s="21" t="s">
        <v>317</v>
      </c>
      <c r="E48" s="22" t="s">
        <v>318</v>
      </c>
      <c r="F48" s="22">
        <v>69000</v>
      </c>
      <c r="G48" s="22" t="s">
        <v>153</v>
      </c>
      <c r="H48" s="22" t="s">
        <v>107</v>
      </c>
      <c r="I48" s="22"/>
      <c r="J48" s="22" t="s">
        <v>319</v>
      </c>
      <c r="K48" s="22"/>
    </row>
    <row r="49" spans="1:11" ht="18" customHeight="1" x14ac:dyDescent="0.35">
      <c r="A49" s="23" t="s">
        <v>320</v>
      </c>
      <c r="B49" s="24" t="s">
        <v>22</v>
      </c>
      <c r="C49" s="23" t="s">
        <v>321</v>
      </c>
      <c r="D49" s="23" t="s">
        <v>322</v>
      </c>
      <c r="E49" s="24" t="s">
        <v>323</v>
      </c>
      <c r="F49" s="24">
        <v>71008</v>
      </c>
      <c r="G49" s="24" t="s">
        <v>324</v>
      </c>
      <c r="H49" s="24" t="s">
        <v>107</v>
      </c>
      <c r="I49" s="24"/>
      <c r="J49" s="24" t="s">
        <v>321</v>
      </c>
      <c r="K49" s="24"/>
    </row>
    <row r="50" spans="1:11" ht="18" customHeight="1" x14ac:dyDescent="0.35">
      <c r="A50" s="21" t="s">
        <v>325</v>
      </c>
      <c r="B50" s="22" t="s">
        <v>22</v>
      </c>
      <c r="C50" s="21" t="s">
        <v>326</v>
      </c>
      <c r="D50" s="21" t="s">
        <v>224</v>
      </c>
      <c r="E50" s="22" t="s">
        <v>225</v>
      </c>
      <c r="F50" s="22">
        <v>71000</v>
      </c>
      <c r="G50" s="22" t="s">
        <v>183</v>
      </c>
      <c r="H50" s="22" t="s">
        <v>107</v>
      </c>
      <c r="I50" s="22"/>
      <c r="J50" s="22" t="s">
        <v>327</v>
      </c>
      <c r="K50" s="22"/>
    </row>
    <row r="51" spans="1:11" ht="18" customHeight="1" x14ac:dyDescent="0.35">
      <c r="A51" s="23" t="s">
        <v>328</v>
      </c>
      <c r="B51" s="24" t="s">
        <v>22</v>
      </c>
      <c r="C51" s="23" t="s">
        <v>329</v>
      </c>
      <c r="D51" s="23" t="s">
        <v>330</v>
      </c>
      <c r="E51" s="24" t="s">
        <v>331</v>
      </c>
      <c r="F51" s="24">
        <v>82500</v>
      </c>
      <c r="G51" s="24" t="s">
        <v>177</v>
      </c>
      <c r="H51" s="24" t="s">
        <v>107</v>
      </c>
      <c r="I51" s="24"/>
      <c r="J51" s="24" t="s">
        <v>332</v>
      </c>
      <c r="K51" s="24"/>
    </row>
    <row r="52" spans="1:11" ht="18" customHeight="1" x14ac:dyDescent="0.35">
      <c r="A52" s="21" t="s">
        <v>333</v>
      </c>
      <c r="B52" s="22" t="s">
        <v>22</v>
      </c>
      <c r="C52" s="21" t="s">
        <v>334</v>
      </c>
      <c r="D52" s="21" t="s">
        <v>335</v>
      </c>
      <c r="E52" s="22" t="s">
        <v>142</v>
      </c>
      <c r="F52" s="22">
        <v>69143</v>
      </c>
      <c r="G52" s="22" t="s">
        <v>113</v>
      </c>
      <c r="H52" s="22" t="s">
        <v>107</v>
      </c>
      <c r="I52" s="22"/>
      <c r="J52" s="22"/>
      <c r="K52" s="22"/>
    </row>
    <row r="53" spans="1:11" ht="18" customHeight="1" x14ac:dyDescent="0.35">
      <c r="A53" s="23" t="s">
        <v>336</v>
      </c>
      <c r="B53" s="24" t="s">
        <v>22</v>
      </c>
      <c r="C53" s="23" t="s">
        <v>337</v>
      </c>
      <c r="D53" s="23" t="s">
        <v>338</v>
      </c>
      <c r="E53" s="24" t="s">
        <v>323</v>
      </c>
      <c r="F53" s="24">
        <v>64000</v>
      </c>
      <c r="G53" s="24" t="s">
        <v>124</v>
      </c>
      <c r="H53" s="24" t="s">
        <v>107</v>
      </c>
      <c r="I53" s="24"/>
      <c r="J53" s="24" t="s">
        <v>339</v>
      </c>
      <c r="K53" s="24"/>
    </row>
    <row r="54" spans="1:11" ht="18" customHeight="1" x14ac:dyDescent="0.35">
      <c r="A54" s="21" t="s">
        <v>340</v>
      </c>
      <c r="B54" s="22" t="s">
        <v>22</v>
      </c>
      <c r="C54" s="21" t="s">
        <v>341</v>
      </c>
      <c r="D54" s="21" t="s">
        <v>239</v>
      </c>
      <c r="E54" s="22" t="s">
        <v>105</v>
      </c>
      <c r="F54" s="22">
        <v>72220</v>
      </c>
      <c r="G54" s="22" t="s">
        <v>153</v>
      </c>
      <c r="H54" s="22" t="s">
        <v>107</v>
      </c>
      <c r="I54" s="22"/>
      <c r="J54" s="22" t="s">
        <v>205</v>
      </c>
      <c r="K54" s="22"/>
    </row>
    <row r="55" spans="1:11" ht="18" customHeight="1" x14ac:dyDescent="0.35">
      <c r="A55" s="23" t="s">
        <v>342</v>
      </c>
      <c r="B55" s="24" t="s">
        <v>22</v>
      </c>
      <c r="C55" s="23" t="s">
        <v>343</v>
      </c>
      <c r="D55" s="23" t="s">
        <v>344</v>
      </c>
      <c r="E55" s="24" t="s">
        <v>209</v>
      </c>
      <c r="F55" s="24">
        <v>65515</v>
      </c>
      <c r="G55" s="24" t="s">
        <v>345</v>
      </c>
      <c r="H55" s="24" t="s">
        <v>107</v>
      </c>
      <c r="I55" s="24"/>
      <c r="J55" s="24" t="s">
        <v>343</v>
      </c>
      <c r="K55" s="24"/>
    </row>
    <row r="56" spans="1:11" ht="18" customHeight="1" x14ac:dyDescent="0.35">
      <c r="A56" s="21" t="s">
        <v>346</v>
      </c>
      <c r="B56" s="22" t="s">
        <v>22</v>
      </c>
      <c r="C56" s="21" t="s">
        <v>347</v>
      </c>
      <c r="D56" s="21" t="s">
        <v>348</v>
      </c>
      <c r="E56" s="22" t="s">
        <v>172</v>
      </c>
      <c r="F56" s="22">
        <v>65890</v>
      </c>
      <c r="G56" s="22" t="s">
        <v>324</v>
      </c>
      <c r="H56" s="22" t="s">
        <v>107</v>
      </c>
      <c r="I56" s="22"/>
      <c r="J56" s="22" t="s">
        <v>349</v>
      </c>
      <c r="K56" s="22"/>
    </row>
    <row r="57" spans="1:11" ht="18" customHeight="1" x14ac:dyDescent="0.35">
      <c r="A57" s="23" t="s">
        <v>350</v>
      </c>
      <c r="B57" s="24" t="s">
        <v>22</v>
      </c>
      <c r="C57" s="23" t="s">
        <v>351</v>
      </c>
      <c r="D57" s="23" t="s">
        <v>167</v>
      </c>
      <c r="E57" s="24" t="s">
        <v>128</v>
      </c>
      <c r="F57" s="24">
        <v>70000</v>
      </c>
      <c r="G57" s="24" t="s">
        <v>261</v>
      </c>
      <c r="H57" s="24" t="s">
        <v>107</v>
      </c>
      <c r="I57" s="24"/>
      <c r="J57" s="24" t="s">
        <v>352</v>
      </c>
      <c r="K57" s="24"/>
    </row>
    <row r="58" spans="1:11" ht="18" customHeight="1" x14ac:dyDescent="0.35">
      <c r="A58" s="21" t="s">
        <v>353</v>
      </c>
      <c r="B58" s="22" t="s">
        <v>22</v>
      </c>
      <c r="C58" s="21" t="s">
        <v>354</v>
      </c>
      <c r="D58" s="21" t="s">
        <v>244</v>
      </c>
      <c r="E58" s="22" t="s">
        <v>245</v>
      </c>
      <c r="F58" s="22">
        <v>62500</v>
      </c>
      <c r="G58" s="22" t="s">
        <v>355</v>
      </c>
      <c r="H58" s="22" t="s">
        <v>107</v>
      </c>
      <c r="I58" s="22"/>
      <c r="J58" s="22" t="s">
        <v>205</v>
      </c>
      <c r="K58" s="22"/>
    </row>
    <row r="59" spans="1:11" ht="18" customHeight="1" x14ac:dyDescent="0.35">
      <c r="A59" s="23" t="s">
        <v>356</v>
      </c>
      <c r="B59" s="24" t="s">
        <v>22</v>
      </c>
      <c r="C59" s="23" t="s">
        <v>357</v>
      </c>
      <c r="D59" s="23" t="s">
        <v>358</v>
      </c>
      <c r="E59" s="24" t="s">
        <v>198</v>
      </c>
      <c r="F59" s="24">
        <v>63400</v>
      </c>
      <c r="G59" s="24" t="s">
        <v>359</v>
      </c>
      <c r="H59" s="24" t="s">
        <v>107</v>
      </c>
      <c r="I59" s="24"/>
      <c r="J59" s="24" t="s">
        <v>205</v>
      </c>
      <c r="K59" s="24"/>
    </row>
    <row r="60" spans="1:11" ht="18" customHeight="1" x14ac:dyDescent="0.35">
      <c r="A60" s="21" t="s">
        <v>360</v>
      </c>
      <c r="B60" s="22" t="s">
        <v>22</v>
      </c>
      <c r="C60" s="21" t="s">
        <v>361</v>
      </c>
      <c r="D60" s="21" t="s">
        <v>228</v>
      </c>
      <c r="E60" s="22" t="s">
        <v>229</v>
      </c>
      <c r="F60" s="22">
        <v>66655</v>
      </c>
      <c r="G60" s="22" t="s">
        <v>163</v>
      </c>
      <c r="H60" s="22" t="s">
        <v>107</v>
      </c>
      <c r="I60" s="22"/>
      <c r="J60" s="22" t="s">
        <v>205</v>
      </c>
      <c r="K60" s="22"/>
    </row>
    <row r="61" spans="1:11" ht="18" customHeight="1" x14ac:dyDescent="0.35">
      <c r="A61" s="23" t="s">
        <v>362</v>
      </c>
      <c r="B61" s="24" t="s">
        <v>27</v>
      </c>
      <c r="C61" s="23" t="s">
        <v>363</v>
      </c>
      <c r="D61" s="23" t="s">
        <v>147</v>
      </c>
      <c r="E61" s="24" t="s">
        <v>148</v>
      </c>
      <c r="F61" s="24">
        <v>41900</v>
      </c>
      <c r="G61" s="24" t="s">
        <v>106</v>
      </c>
      <c r="H61" s="24" t="s">
        <v>107</v>
      </c>
      <c r="I61" s="24"/>
      <c r="J61" s="24"/>
      <c r="K61" s="24"/>
    </row>
    <row r="62" spans="1:11" ht="18" customHeight="1" x14ac:dyDescent="0.35">
      <c r="A62" s="21" t="s">
        <v>364</v>
      </c>
      <c r="B62" s="22" t="s">
        <v>27</v>
      </c>
      <c r="C62" s="21" t="s">
        <v>365</v>
      </c>
      <c r="D62" s="21" t="s">
        <v>366</v>
      </c>
      <c r="E62" s="22" t="s">
        <v>128</v>
      </c>
      <c r="F62" s="22">
        <v>45517</v>
      </c>
      <c r="G62" s="22" t="s">
        <v>367</v>
      </c>
      <c r="H62" s="22" t="s">
        <v>107</v>
      </c>
      <c r="I62" s="22"/>
      <c r="J62" s="22" t="s">
        <v>368</v>
      </c>
      <c r="K62" s="22"/>
    </row>
    <row r="63" spans="1:11" ht="18" customHeight="1" x14ac:dyDescent="0.35">
      <c r="A63" s="23" t="s">
        <v>369</v>
      </c>
      <c r="B63" s="24" t="s">
        <v>27</v>
      </c>
      <c r="C63" s="23" t="s">
        <v>370</v>
      </c>
      <c r="D63" s="23" t="s">
        <v>371</v>
      </c>
      <c r="E63" s="24" t="s">
        <v>266</v>
      </c>
      <c r="F63" s="24">
        <v>44383</v>
      </c>
      <c r="G63" s="24" t="s">
        <v>359</v>
      </c>
      <c r="H63" s="24" t="s">
        <v>107</v>
      </c>
      <c r="I63" s="24"/>
      <c r="J63" s="24" t="s">
        <v>370</v>
      </c>
      <c r="K63" s="24"/>
    </row>
    <row r="64" spans="1:11" ht="18" customHeight="1" x14ac:dyDescent="0.35">
      <c r="A64" s="21" t="s">
        <v>372</v>
      </c>
      <c r="B64" s="22" t="s">
        <v>27</v>
      </c>
      <c r="C64" s="21" t="s">
        <v>373</v>
      </c>
      <c r="D64" s="21" t="s">
        <v>197</v>
      </c>
      <c r="E64" s="22" t="s">
        <v>198</v>
      </c>
      <c r="F64" s="22">
        <v>48330</v>
      </c>
      <c r="G64" s="22" t="s">
        <v>324</v>
      </c>
      <c r="H64" s="22" t="s">
        <v>107</v>
      </c>
      <c r="I64" s="22"/>
      <c r="J64" s="22"/>
      <c r="K64" s="22"/>
    </row>
    <row r="65" spans="1:11" ht="18" customHeight="1" x14ac:dyDescent="0.35">
      <c r="A65" s="23" t="s">
        <v>374</v>
      </c>
      <c r="B65" s="24" t="s">
        <v>27</v>
      </c>
      <c r="C65" s="23" t="s">
        <v>375</v>
      </c>
      <c r="D65" s="23" t="s">
        <v>376</v>
      </c>
      <c r="E65" s="24" t="s">
        <v>117</v>
      </c>
      <c r="F65" s="24">
        <v>41922</v>
      </c>
      <c r="G65" s="24" t="s">
        <v>272</v>
      </c>
      <c r="H65" s="24" t="s">
        <v>107</v>
      </c>
      <c r="I65" s="24"/>
      <c r="J65" s="24" t="s">
        <v>375</v>
      </c>
      <c r="K65" s="24"/>
    </row>
    <row r="66" spans="1:11" ht="18" customHeight="1" x14ac:dyDescent="0.35">
      <c r="A66" s="21" t="s">
        <v>377</v>
      </c>
      <c r="B66" s="22" t="s">
        <v>27</v>
      </c>
      <c r="C66" s="21" t="s">
        <v>378</v>
      </c>
      <c r="D66" s="21" t="s">
        <v>249</v>
      </c>
      <c r="E66" s="22" t="s">
        <v>250</v>
      </c>
      <c r="F66" s="22">
        <v>42901</v>
      </c>
      <c r="G66" s="22" t="s">
        <v>143</v>
      </c>
      <c r="H66" s="22" t="s">
        <v>107</v>
      </c>
      <c r="I66" s="22"/>
      <c r="J66" s="22" t="s">
        <v>379</v>
      </c>
      <c r="K66" s="22"/>
    </row>
    <row r="67" spans="1:11" ht="18" customHeight="1" x14ac:dyDescent="0.35">
      <c r="A67" s="23" t="s">
        <v>380</v>
      </c>
      <c r="B67" s="24" t="s">
        <v>27</v>
      </c>
      <c r="C67" s="23" t="s">
        <v>381</v>
      </c>
      <c r="D67" s="23" t="s">
        <v>181</v>
      </c>
      <c r="E67" s="24" t="s">
        <v>182</v>
      </c>
      <c r="F67" s="24">
        <v>41083</v>
      </c>
      <c r="G67" s="24" t="s">
        <v>345</v>
      </c>
      <c r="H67" s="24" t="s">
        <v>107</v>
      </c>
      <c r="I67" s="24"/>
      <c r="J67" s="24" t="s">
        <v>184</v>
      </c>
      <c r="K67" s="24"/>
    </row>
    <row r="68" spans="1:11" ht="18" customHeight="1" x14ac:dyDescent="0.35">
      <c r="A68" s="21" t="s">
        <v>382</v>
      </c>
      <c r="B68" s="22" t="s">
        <v>27</v>
      </c>
      <c r="C68" s="21" t="s">
        <v>383</v>
      </c>
      <c r="D68" s="21" t="s">
        <v>111</v>
      </c>
      <c r="E68" s="22" t="s">
        <v>112</v>
      </c>
      <c r="F68" s="22">
        <v>46897</v>
      </c>
      <c r="G68" s="22" t="s">
        <v>193</v>
      </c>
      <c r="H68" s="22" t="s">
        <v>107</v>
      </c>
      <c r="I68" s="22"/>
      <c r="J68" s="22" t="s">
        <v>384</v>
      </c>
      <c r="K68" s="22"/>
    </row>
    <row r="69" spans="1:11" ht="18" customHeight="1" x14ac:dyDescent="0.35">
      <c r="A69" s="23" t="s">
        <v>385</v>
      </c>
      <c r="B69" s="24" t="s">
        <v>27</v>
      </c>
      <c r="C69" s="23" t="s">
        <v>386</v>
      </c>
      <c r="D69" s="23" t="s">
        <v>239</v>
      </c>
      <c r="E69" s="24" t="s">
        <v>105</v>
      </c>
      <c r="F69" s="24">
        <v>41168</v>
      </c>
      <c r="G69" s="24" t="s">
        <v>345</v>
      </c>
      <c r="H69" s="24" t="s">
        <v>107</v>
      </c>
      <c r="I69" s="24"/>
      <c r="J69" s="24"/>
      <c r="K69" s="24"/>
    </row>
    <row r="70" spans="1:11" ht="18" customHeight="1" x14ac:dyDescent="0.35">
      <c r="A70" s="21" t="s">
        <v>387</v>
      </c>
      <c r="B70" s="22" t="s">
        <v>27</v>
      </c>
      <c r="C70" s="21" t="s">
        <v>388</v>
      </c>
      <c r="D70" s="21" t="s">
        <v>132</v>
      </c>
      <c r="E70" s="22" t="s">
        <v>128</v>
      </c>
      <c r="F70" s="22">
        <v>56000</v>
      </c>
      <c r="G70" s="22" t="s">
        <v>389</v>
      </c>
      <c r="H70" s="22" t="s">
        <v>107</v>
      </c>
      <c r="I70" s="22"/>
      <c r="J70" s="22" t="s">
        <v>390</v>
      </c>
      <c r="K70" s="22"/>
    </row>
    <row r="71" spans="1:11" ht="18" customHeight="1" x14ac:dyDescent="0.35">
      <c r="A71" s="23" t="s">
        <v>391</v>
      </c>
      <c r="B71" s="24" t="s">
        <v>27</v>
      </c>
      <c r="C71" s="23" t="s">
        <v>392</v>
      </c>
      <c r="D71" s="23" t="s">
        <v>234</v>
      </c>
      <c r="E71" s="24" t="s">
        <v>235</v>
      </c>
      <c r="F71" s="24">
        <v>37755</v>
      </c>
      <c r="G71" s="24" t="s">
        <v>393</v>
      </c>
      <c r="H71" s="24" t="s">
        <v>107</v>
      </c>
      <c r="I71" s="24"/>
      <c r="J71" s="24" t="s">
        <v>394</v>
      </c>
      <c r="K71" s="24"/>
    </row>
    <row r="72" spans="1:11" ht="18" customHeight="1" x14ac:dyDescent="0.35">
      <c r="A72" s="21" t="s">
        <v>395</v>
      </c>
      <c r="B72" s="22" t="s">
        <v>27</v>
      </c>
      <c r="C72" s="21" t="s">
        <v>396</v>
      </c>
      <c r="D72" s="21" t="s">
        <v>271</v>
      </c>
      <c r="E72" s="22" t="s">
        <v>105</v>
      </c>
      <c r="F72" s="22">
        <v>40300</v>
      </c>
      <c r="G72" s="22" t="s">
        <v>261</v>
      </c>
      <c r="H72" s="22" t="s">
        <v>107</v>
      </c>
      <c r="I72" s="22"/>
      <c r="J72" s="22"/>
      <c r="K72" s="22"/>
    </row>
    <row r="73" spans="1:11" ht="18" customHeight="1" x14ac:dyDescent="0.35">
      <c r="A73" s="23" t="s">
        <v>397</v>
      </c>
      <c r="B73" s="24" t="s">
        <v>27</v>
      </c>
      <c r="C73" s="23" t="s">
        <v>398</v>
      </c>
      <c r="D73" s="23" t="s">
        <v>344</v>
      </c>
      <c r="E73" s="24" t="s">
        <v>209</v>
      </c>
      <c r="F73" s="24">
        <v>43500</v>
      </c>
      <c r="G73" s="24" t="s">
        <v>240</v>
      </c>
      <c r="H73" s="24" t="s">
        <v>107</v>
      </c>
      <c r="I73" s="24"/>
      <c r="J73" s="24" t="s">
        <v>398</v>
      </c>
      <c r="K73" s="24"/>
    </row>
    <row r="74" spans="1:11" ht="18" customHeight="1" x14ac:dyDescent="0.35">
      <c r="A74" s="21" t="s">
        <v>399</v>
      </c>
      <c r="B74" s="22" t="s">
        <v>27</v>
      </c>
      <c r="C74" s="21" t="s">
        <v>400</v>
      </c>
      <c r="D74" s="21" t="s">
        <v>265</v>
      </c>
      <c r="E74" s="22" t="s">
        <v>266</v>
      </c>
      <c r="F74" s="22">
        <v>37903</v>
      </c>
      <c r="G74" s="22" t="s">
        <v>401</v>
      </c>
      <c r="H74" s="22" t="s">
        <v>107</v>
      </c>
      <c r="I74" s="22"/>
      <c r="J74" s="22" t="s">
        <v>402</v>
      </c>
      <c r="K74" s="22"/>
    </row>
    <row r="75" spans="1:11" ht="18" customHeight="1" x14ac:dyDescent="0.35">
      <c r="A75" s="23" t="s">
        <v>403</v>
      </c>
      <c r="B75" s="24" t="s">
        <v>27</v>
      </c>
      <c r="C75" s="23" t="s">
        <v>404</v>
      </c>
      <c r="D75" s="23" t="s">
        <v>171</v>
      </c>
      <c r="E75" s="24" t="s">
        <v>172</v>
      </c>
      <c r="F75" s="24">
        <v>36742</v>
      </c>
      <c r="G75" s="24" t="s">
        <v>118</v>
      </c>
      <c r="H75" s="24" t="s">
        <v>107</v>
      </c>
      <c r="I75" s="24"/>
      <c r="J75" s="24"/>
      <c r="K75" s="24"/>
    </row>
    <row r="76" spans="1:11" ht="18" customHeight="1" x14ac:dyDescent="0.35">
      <c r="A76" s="21" t="s">
        <v>405</v>
      </c>
      <c r="B76" s="22" t="s">
        <v>27</v>
      </c>
      <c r="C76" s="21" t="s">
        <v>406</v>
      </c>
      <c r="D76" s="21" t="s">
        <v>122</v>
      </c>
      <c r="E76" s="22" t="s">
        <v>123</v>
      </c>
      <c r="F76" s="22">
        <v>41373</v>
      </c>
      <c r="G76" s="22" t="s">
        <v>314</v>
      </c>
      <c r="H76" s="22" t="s">
        <v>107</v>
      </c>
      <c r="I76" s="22"/>
      <c r="J76" s="22" t="s">
        <v>406</v>
      </c>
      <c r="K76" s="22"/>
    </row>
    <row r="77" spans="1:11" ht="18" customHeight="1" x14ac:dyDescent="0.35">
      <c r="A77" s="23" t="s">
        <v>407</v>
      </c>
      <c r="B77" s="24" t="s">
        <v>27</v>
      </c>
      <c r="C77" s="23" t="s">
        <v>408</v>
      </c>
      <c r="D77" s="23" t="s">
        <v>127</v>
      </c>
      <c r="E77" s="24" t="s">
        <v>128</v>
      </c>
      <c r="F77" s="24">
        <v>41331</v>
      </c>
      <c r="G77" s="24" t="s">
        <v>345</v>
      </c>
      <c r="H77" s="24" t="s">
        <v>107</v>
      </c>
      <c r="I77" s="24"/>
      <c r="J77" s="24" t="s">
        <v>409</v>
      </c>
      <c r="K77" s="24"/>
    </row>
    <row r="78" spans="1:11" ht="18" customHeight="1" x14ac:dyDescent="0.35">
      <c r="A78" s="21" t="s">
        <v>410</v>
      </c>
      <c r="B78" s="22" t="s">
        <v>27</v>
      </c>
      <c r="C78" s="21" t="s">
        <v>411</v>
      </c>
      <c r="D78" s="21" t="s">
        <v>322</v>
      </c>
      <c r="E78" s="22" t="s">
        <v>323</v>
      </c>
      <c r="F78" s="22">
        <v>42455</v>
      </c>
      <c r="G78" s="22" t="s">
        <v>199</v>
      </c>
      <c r="H78" s="22" t="s">
        <v>107</v>
      </c>
      <c r="I78" s="22"/>
      <c r="J78" s="22" t="s">
        <v>412</v>
      </c>
      <c r="K78" s="22"/>
    </row>
    <row r="79" spans="1:11" ht="18" customHeight="1" x14ac:dyDescent="0.35">
      <c r="A79" s="23" t="s">
        <v>413</v>
      </c>
      <c r="B79" s="24" t="s">
        <v>27</v>
      </c>
      <c r="C79" s="23" t="s">
        <v>414</v>
      </c>
      <c r="D79" s="23" t="s">
        <v>415</v>
      </c>
      <c r="E79" s="24" t="s">
        <v>128</v>
      </c>
      <c r="F79" s="24">
        <v>39860</v>
      </c>
      <c r="G79" s="24" t="s">
        <v>143</v>
      </c>
      <c r="H79" s="24" t="s">
        <v>107</v>
      </c>
      <c r="I79" s="24"/>
      <c r="J79" s="24" t="s">
        <v>416</v>
      </c>
      <c r="K79" s="24"/>
    </row>
    <row r="80" spans="1:11" ht="18" customHeight="1" x14ac:dyDescent="0.35">
      <c r="A80" s="21" t="s">
        <v>417</v>
      </c>
      <c r="B80" s="22" t="s">
        <v>27</v>
      </c>
      <c r="C80" s="21" t="s">
        <v>418</v>
      </c>
      <c r="D80" s="21" t="s">
        <v>255</v>
      </c>
      <c r="E80" s="22" t="s">
        <v>250</v>
      </c>
      <c r="F80" s="22">
        <v>38747</v>
      </c>
      <c r="G80" s="22" t="s">
        <v>106</v>
      </c>
      <c r="H80" s="22" t="s">
        <v>107</v>
      </c>
      <c r="I80" s="22"/>
      <c r="J80" s="22" t="s">
        <v>418</v>
      </c>
      <c r="K80" s="22"/>
    </row>
    <row r="81" spans="1:11" ht="18" customHeight="1" x14ac:dyDescent="0.35">
      <c r="A81" s="23" t="s">
        <v>419</v>
      </c>
      <c r="B81" s="24" t="s">
        <v>27</v>
      </c>
      <c r="C81" s="23" t="s">
        <v>420</v>
      </c>
      <c r="D81" s="23" t="s">
        <v>208</v>
      </c>
      <c r="E81" s="24" t="s">
        <v>209</v>
      </c>
      <c r="F81" s="24">
        <v>34820</v>
      </c>
      <c r="G81" s="24" t="s">
        <v>210</v>
      </c>
      <c r="H81" s="24" t="s">
        <v>107</v>
      </c>
      <c r="I81" s="24"/>
      <c r="J81" s="24" t="s">
        <v>421</v>
      </c>
      <c r="K81" s="24"/>
    </row>
    <row r="82" spans="1:11" ht="18" customHeight="1" x14ac:dyDescent="0.35">
      <c r="A82" s="21" t="s">
        <v>422</v>
      </c>
      <c r="B82" s="22" t="s">
        <v>27</v>
      </c>
      <c r="C82" s="21" t="s">
        <v>423</v>
      </c>
      <c r="D82" s="21" t="s">
        <v>244</v>
      </c>
      <c r="E82" s="22" t="s">
        <v>245</v>
      </c>
      <c r="F82" s="22">
        <v>40615</v>
      </c>
      <c r="G82" s="22" t="s">
        <v>137</v>
      </c>
      <c r="H82" s="22" t="s">
        <v>107</v>
      </c>
      <c r="I82" s="22"/>
      <c r="J82" s="22" t="s">
        <v>424</v>
      </c>
      <c r="K82" s="22"/>
    </row>
    <row r="83" spans="1:11" ht="18" customHeight="1" x14ac:dyDescent="0.35">
      <c r="A83" s="23" t="s">
        <v>425</v>
      </c>
      <c r="B83" s="24" t="s">
        <v>27</v>
      </c>
      <c r="C83" s="23" t="s">
        <v>426</v>
      </c>
      <c r="D83" s="23" t="s">
        <v>427</v>
      </c>
      <c r="E83" s="24" t="s">
        <v>128</v>
      </c>
      <c r="F83" s="24">
        <v>13416</v>
      </c>
      <c r="G83" s="24" t="s">
        <v>345</v>
      </c>
      <c r="H83" s="24" t="s">
        <v>107</v>
      </c>
      <c r="I83" s="24"/>
      <c r="J83" s="24" t="s">
        <v>428</v>
      </c>
      <c r="K83" s="24"/>
    </row>
    <row r="84" spans="1:11" ht="18" customHeight="1" x14ac:dyDescent="0.35">
      <c r="A84" s="21" t="s">
        <v>429</v>
      </c>
      <c r="B84" s="22" t="s">
        <v>27</v>
      </c>
      <c r="C84" s="21" t="s">
        <v>430</v>
      </c>
      <c r="D84" s="21" t="s">
        <v>317</v>
      </c>
      <c r="E84" s="22" t="s">
        <v>318</v>
      </c>
      <c r="F84" s="22">
        <v>47929</v>
      </c>
      <c r="G84" s="22" t="s">
        <v>113</v>
      </c>
      <c r="H84" s="22" t="s">
        <v>107</v>
      </c>
      <c r="I84" s="22"/>
      <c r="J84" s="22"/>
      <c r="K84" s="22"/>
    </row>
    <row r="85" spans="1:11" ht="18" customHeight="1" x14ac:dyDescent="0.35">
      <c r="A85" s="23" t="s">
        <v>431</v>
      </c>
      <c r="B85" s="24" t="s">
        <v>27</v>
      </c>
      <c r="C85" s="23" t="s">
        <v>432</v>
      </c>
      <c r="D85" s="23" t="s">
        <v>228</v>
      </c>
      <c r="E85" s="24" t="s">
        <v>229</v>
      </c>
      <c r="F85" s="24">
        <v>38544</v>
      </c>
      <c r="G85" s="24" t="s">
        <v>177</v>
      </c>
      <c r="H85" s="24" t="s">
        <v>107</v>
      </c>
      <c r="I85" s="24"/>
      <c r="J85" s="24" t="s">
        <v>433</v>
      </c>
      <c r="K85" s="24"/>
    </row>
    <row r="86" spans="1:11" ht="18" customHeight="1" x14ac:dyDescent="0.35">
      <c r="A86" s="21" t="s">
        <v>434</v>
      </c>
      <c r="B86" s="22" t="s">
        <v>27</v>
      </c>
      <c r="C86" s="21" t="s">
        <v>435</v>
      </c>
      <c r="D86" s="21" t="s">
        <v>436</v>
      </c>
      <c r="E86" s="22" t="s">
        <v>172</v>
      </c>
      <c r="F86" s="22">
        <v>25000</v>
      </c>
      <c r="G86" s="22" t="s">
        <v>230</v>
      </c>
      <c r="H86" s="22" t="s">
        <v>107</v>
      </c>
      <c r="I86" s="22"/>
      <c r="J86" s="22"/>
      <c r="K86" s="22"/>
    </row>
    <row r="87" spans="1:11" ht="18" customHeight="1" x14ac:dyDescent="0.35">
      <c r="A87" s="23" t="s">
        <v>437</v>
      </c>
      <c r="B87" s="24" t="s">
        <v>27</v>
      </c>
      <c r="C87" s="23" t="s">
        <v>438</v>
      </c>
      <c r="D87" s="23" t="s">
        <v>439</v>
      </c>
      <c r="E87" s="24" t="s">
        <v>225</v>
      </c>
      <c r="F87" s="24">
        <v>41084</v>
      </c>
      <c r="G87" s="24" t="s">
        <v>183</v>
      </c>
      <c r="H87" s="24" t="s">
        <v>107</v>
      </c>
      <c r="I87" s="24"/>
      <c r="J87" s="24" t="s">
        <v>440</v>
      </c>
      <c r="K87" s="24"/>
    </row>
    <row r="88" spans="1:11" ht="18" customHeight="1" x14ac:dyDescent="0.35">
      <c r="A88" s="21" t="s">
        <v>441</v>
      </c>
      <c r="B88" s="22" t="s">
        <v>27</v>
      </c>
      <c r="C88" s="21" t="s">
        <v>442</v>
      </c>
      <c r="D88" s="21" t="s">
        <v>244</v>
      </c>
      <c r="E88" s="22" t="s">
        <v>245</v>
      </c>
      <c r="F88" s="22">
        <v>41649</v>
      </c>
      <c r="G88" s="22" t="s">
        <v>443</v>
      </c>
      <c r="H88" s="22" t="s">
        <v>107</v>
      </c>
      <c r="I88" s="22"/>
      <c r="J88" s="22" t="s">
        <v>442</v>
      </c>
      <c r="K88" s="22"/>
    </row>
    <row r="89" spans="1:11" ht="18" customHeight="1" x14ac:dyDescent="0.35">
      <c r="A89" s="23" t="s">
        <v>444</v>
      </c>
      <c r="B89" s="24" t="s">
        <v>27</v>
      </c>
      <c r="C89" s="23" t="s">
        <v>445</v>
      </c>
      <c r="D89" s="23" t="s">
        <v>446</v>
      </c>
      <c r="E89" s="24" t="s">
        <v>117</v>
      </c>
      <c r="F89" s="24">
        <v>46537</v>
      </c>
      <c r="G89" s="24" t="s">
        <v>272</v>
      </c>
      <c r="H89" s="24" t="s">
        <v>107</v>
      </c>
      <c r="I89" s="24"/>
      <c r="J89" s="24" t="s">
        <v>447</v>
      </c>
      <c r="K89" s="24"/>
    </row>
    <row r="90" spans="1:11" ht="18" customHeight="1" x14ac:dyDescent="0.35">
      <c r="A90" s="21" t="s">
        <v>448</v>
      </c>
      <c r="B90" s="22" t="s">
        <v>38</v>
      </c>
      <c r="C90" s="21" t="s">
        <v>449</v>
      </c>
      <c r="D90" s="21" t="s">
        <v>450</v>
      </c>
      <c r="E90" s="22" t="s">
        <v>172</v>
      </c>
      <c r="F90" s="22">
        <v>19250</v>
      </c>
      <c r="G90" s="22" t="s">
        <v>324</v>
      </c>
      <c r="H90" s="22" t="s">
        <v>107</v>
      </c>
      <c r="I90" s="22"/>
      <c r="J90" s="22" t="s">
        <v>451</v>
      </c>
      <c r="K90" s="22"/>
    </row>
    <row r="91" spans="1:11" ht="18" customHeight="1" x14ac:dyDescent="0.35">
      <c r="A91" s="23" t="s">
        <v>452</v>
      </c>
      <c r="B91" s="24" t="s">
        <v>38</v>
      </c>
      <c r="C91" s="23" t="s">
        <v>453</v>
      </c>
      <c r="D91" s="23" t="s">
        <v>348</v>
      </c>
      <c r="E91" s="24" t="s">
        <v>172</v>
      </c>
      <c r="F91" s="24">
        <v>19092</v>
      </c>
      <c r="G91" s="24" t="s">
        <v>251</v>
      </c>
      <c r="H91" s="24" t="s">
        <v>107</v>
      </c>
      <c r="I91" s="24"/>
      <c r="J91" s="24" t="s">
        <v>454</v>
      </c>
      <c r="K91" s="24"/>
    </row>
    <row r="92" spans="1:11" ht="18" customHeight="1" x14ac:dyDescent="0.35">
      <c r="A92" s="21" t="s">
        <v>455</v>
      </c>
      <c r="B92" s="22" t="s">
        <v>38</v>
      </c>
      <c r="C92" s="21" t="s">
        <v>456</v>
      </c>
      <c r="D92" s="21" t="s">
        <v>335</v>
      </c>
      <c r="E92" s="22" t="s">
        <v>142</v>
      </c>
      <c r="F92" s="22">
        <v>17159</v>
      </c>
      <c r="G92" s="22" t="s">
        <v>251</v>
      </c>
      <c r="H92" s="22" t="s">
        <v>107</v>
      </c>
      <c r="I92" s="22"/>
      <c r="J92" s="22" t="s">
        <v>457</v>
      </c>
      <c r="K92" s="22"/>
    </row>
    <row r="93" spans="1:11" ht="18" customHeight="1" x14ac:dyDescent="0.35">
      <c r="A93" s="23" t="s">
        <v>458</v>
      </c>
      <c r="B93" s="24" t="s">
        <v>38</v>
      </c>
      <c r="C93" s="23" t="s">
        <v>459</v>
      </c>
      <c r="D93" s="23" t="s">
        <v>317</v>
      </c>
      <c r="E93" s="24" t="s">
        <v>318</v>
      </c>
      <c r="F93" s="24">
        <v>17151</v>
      </c>
      <c r="G93" s="24" t="s">
        <v>460</v>
      </c>
      <c r="H93" s="24" t="s">
        <v>107</v>
      </c>
      <c r="I93" s="24"/>
      <c r="J93" s="24" t="s">
        <v>461</v>
      </c>
      <c r="K93" s="24"/>
    </row>
    <row r="94" spans="1:11" ht="18" customHeight="1" x14ac:dyDescent="0.35">
      <c r="A94" s="21" t="s">
        <v>462</v>
      </c>
      <c r="B94" s="22" t="s">
        <v>38</v>
      </c>
      <c r="C94" s="21" t="s">
        <v>463</v>
      </c>
      <c r="D94" s="21" t="s">
        <v>371</v>
      </c>
      <c r="E94" s="22" t="s">
        <v>266</v>
      </c>
      <c r="F94" s="22">
        <v>18096</v>
      </c>
      <c r="G94" s="22" t="s">
        <v>210</v>
      </c>
      <c r="H94" s="22" t="s">
        <v>107</v>
      </c>
      <c r="I94" s="22"/>
      <c r="J94" s="22" t="s">
        <v>464</v>
      </c>
      <c r="K94" s="22"/>
    </row>
    <row r="95" spans="1:11" ht="18" customHeight="1" x14ac:dyDescent="0.35">
      <c r="A95" s="23" t="s">
        <v>465</v>
      </c>
      <c r="B95" s="24" t="s">
        <v>38</v>
      </c>
      <c r="C95" s="23" t="s">
        <v>466</v>
      </c>
      <c r="D95" s="23" t="s">
        <v>467</v>
      </c>
      <c r="E95" s="24" t="s">
        <v>229</v>
      </c>
      <c r="F95" s="24">
        <v>17954</v>
      </c>
      <c r="G95" s="24" t="s">
        <v>345</v>
      </c>
      <c r="H95" s="24" t="s">
        <v>107</v>
      </c>
      <c r="I95" s="24"/>
      <c r="J95" s="24" t="s">
        <v>468</v>
      </c>
      <c r="K95" s="24"/>
    </row>
    <row r="96" spans="1:11" ht="18" customHeight="1" x14ac:dyDescent="0.35">
      <c r="A96" s="21" t="s">
        <v>469</v>
      </c>
      <c r="B96" s="22" t="s">
        <v>38</v>
      </c>
      <c r="C96" s="21" t="s">
        <v>470</v>
      </c>
      <c r="D96" s="21" t="s">
        <v>366</v>
      </c>
      <c r="E96" s="22" t="s">
        <v>128</v>
      </c>
      <c r="F96" s="22">
        <v>17174</v>
      </c>
      <c r="G96" s="22" t="s">
        <v>471</v>
      </c>
      <c r="H96" s="22" t="s">
        <v>107</v>
      </c>
      <c r="I96" s="22"/>
      <c r="J96" s="22" t="s">
        <v>472</v>
      </c>
      <c r="K96" s="22"/>
    </row>
    <row r="97" spans="1:11" ht="18" customHeight="1" x14ac:dyDescent="0.35">
      <c r="A97" s="23" t="s">
        <v>473</v>
      </c>
      <c r="B97" s="24" t="s">
        <v>38</v>
      </c>
      <c r="C97" s="23" t="s">
        <v>474</v>
      </c>
      <c r="D97" s="23" t="s">
        <v>475</v>
      </c>
      <c r="E97" s="24" t="s">
        <v>117</v>
      </c>
      <c r="F97" s="24">
        <v>19070</v>
      </c>
      <c r="G97" s="24" t="s">
        <v>251</v>
      </c>
      <c r="H97" s="24" t="s">
        <v>107</v>
      </c>
      <c r="I97" s="24"/>
      <c r="J97" s="24" t="s">
        <v>474</v>
      </c>
      <c r="K97" s="24"/>
    </row>
    <row r="98" spans="1:11" ht="18" customHeight="1" x14ac:dyDescent="0.35">
      <c r="A98" s="21" t="s">
        <v>476</v>
      </c>
      <c r="B98" s="22" t="s">
        <v>38</v>
      </c>
      <c r="C98" s="21" t="s">
        <v>477</v>
      </c>
      <c r="D98" s="21" t="s">
        <v>478</v>
      </c>
      <c r="E98" s="22" t="s">
        <v>219</v>
      </c>
      <c r="F98" s="22">
        <v>18547</v>
      </c>
      <c r="G98" s="22" t="s">
        <v>113</v>
      </c>
      <c r="H98" s="22" t="s">
        <v>107</v>
      </c>
      <c r="I98" s="22"/>
      <c r="J98" s="22" t="s">
        <v>479</v>
      </c>
      <c r="K98" s="22"/>
    </row>
    <row r="99" spans="1:11" ht="18" customHeight="1" x14ac:dyDescent="0.35">
      <c r="A99" s="23" t="s">
        <v>480</v>
      </c>
      <c r="B99" s="24" t="s">
        <v>38</v>
      </c>
      <c r="C99" s="23" t="s">
        <v>481</v>
      </c>
      <c r="D99" s="23" t="s">
        <v>482</v>
      </c>
      <c r="E99" s="24" t="s">
        <v>209</v>
      </c>
      <c r="F99" s="24">
        <v>18144</v>
      </c>
      <c r="G99" s="24" t="s">
        <v>345</v>
      </c>
      <c r="H99" s="24" t="s">
        <v>107</v>
      </c>
      <c r="I99" s="24"/>
      <c r="J99" s="24" t="s">
        <v>483</v>
      </c>
      <c r="K99" s="24"/>
    </row>
    <row r="100" spans="1:11" ht="18" customHeight="1" x14ac:dyDescent="0.35">
      <c r="A100" s="21" t="s">
        <v>484</v>
      </c>
      <c r="B100" s="22" t="s">
        <v>38</v>
      </c>
      <c r="C100" s="21" t="s">
        <v>485</v>
      </c>
      <c r="D100" s="21" t="s">
        <v>255</v>
      </c>
      <c r="E100" s="22" t="s">
        <v>250</v>
      </c>
      <c r="F100" s="22">
        <v>18387</v>
      </c>
      <c r="G100" s="22" t="s">
        <v>177</v>
      </c>
      <c r="H100" s="22" t="s">
        <v>107</v>
      </c>
      <c r="I100" s="22"/>
      <c r="J100" s="22" t="s">
        <v>486</v>
      </c>
      <c r="K100" s="22"/>
    </row>
    <row r="101" spans="1:11" ht="18" customHeight="1" x14ac:dyDescent="0.35">
      <c r="A101" s="23" t="s">
        <v>487</v>
      </c>
      <c r="B101" s="24" t="s">
        <v>38</v>
      </c>
      <c r="C101" s="23" t="s">
        <v>488</v>
      </c>
      <c r="D101" s="23" t="s">
        <v>489</v>
      </c>
      <c r="E101" s="24" t="s">
        <v>331</v>
      </c>
      <c r="F101" s="24">
        <v>16514</v>
      </c>
      <c r="G101" s="24" t="s">
        <v>490</v>
      </c>
      <c r="H101" s="24" t="s">
        <v>107</v>
      </c>
      <c r="I101" s="24"/>
      <c r="J101" s="24" t="s">
        <v>491</v>
      </c>
      <c r="K101" s="24"/>
    </row>
    <row r="102" spans="1:11" ht="18" customHeight="1" x14ac:dyDescent="0.35">
      <c r="A102" s="21" t="s">
        <v>492</v>
      </c>
      <c r="B102" s="22" t="s">
        <v>38</v>
      </c>
      <c r="C102" s="21" t="s">
        <v>493</v>
      </c>
      <c r="D102" s="21" t="s">
        <v>494</v>
      </c>
      <c r="E102" s="22" t="s">
        <v>128</v>
      </c>
      <c r="F102" s="22">
        <v>17435</v>
      </c>
      <c r="G102" s="22" t="s">
        <v>471</v>
      </c>
      <c r="H102" s="22" t="s">
        <v>107</v>
      </c>
      <c r="I102" s="22"/>
      <c r="J102" s="22" t="s">
        <v>495</v>
      </c>
      <c r="K102" s="22"/>
    </row>
    <row r="103" spans="1:11" ht="18" customHeight="1" x14ac:dyDescent="0.35">
      <c r="A103" s="23" t="s">
        <v>496</v>
      </c>
      <c r="B103" s="24" t="s">
        <v>38</v>
      </c>
      <c r="C103" s="23" t="s">
        <v>497</v>
      </c>
      <c r="D103" s="23" t="s">
        <v>259</v>
      </c>
      <c r="E103" s="24" t="s">
        <v>260</v>
      </c>
      <c r="F103" s="24">
        <v>17367</v>
      </c>
      <c r="G103" s="24" t="s">
        <v>163</v>
      </c>
      <c r="H103" s="24" t="s">
        <v>107</v>
      </c>
      <c r="I103" s="24"/>
      <c r="J103" s="24" t="s">
        <v>498</v>
      </c>
      <c r="K103" s="24"/>
    </row>
    <row r="104" spans="1:11" ht="18" customHeight="1" x14ac:dyDescent="0.35">
      <c r="A104" s="21" t="s">
        <v>499</v>
      </c>
      <c r="B104" s="22" t="s">
        <v>38</v>
      </c>
      <c r="C104" s="21" t="s">
        <v>500</v>
      </c>
      <c r="D104" s="21" t="s">
        <v>501</v>
      </c>
      <c r="E104" s="22" t="s">
        <v>117</v>
      </c>
      <c r="F104" s="22">
        <v>17255</v>
      </c>
      <c r="G104" s="22" t="s">
        <v>460</v>
      </c>
      <c r="H104" s="22" t="s">
        <v>107</v>
      </c>
      <c r="I104" s="22"/>
      <c r="J104" s="22" t="s">
        <v>500</v>
      </c>
      <c r="K104" s="22"/>
    </row>
    <row r="105" spans="1:11" ht="18" customHeight="1" x14ac:dyDescent="0.35">
      <c r="A105" s="23" t="s">
        <v>502</v>
      </c>
      <c r="B105" s="24" t="s">
        <v>16</v>
      </c>
      <c r="C105" s="23" t="s">
        <v>503</v>
      </c>
      <c r="D105" s="23" t="s">
        <v>504</v>
      </c>
      <c r="E105" s="24" t="s">
        <v>505</v>
      </c>
      <c r="F105" s="24">
        <v>28853</v>
      </c>
      <c r="G105" s="24" t="s">
        <v>506</v>
      </c>
      <c r="H105" s="24" t="s">
        <v>107</v>
      </c>
      <c r="I105" s="24"/>
      <c r="J105" s="24" t="s">
        <v>507</v>
      </c>
      <c r="K105" s="24"/>
    </row>
    <row r="106" spans="1:11" ht="18" customHeight="1" x14ac:dyDescent="0.35">
      <c r="A106" s="21" t="s">
        <v>508</v>
      </c>
      <c r="B106" s="22" t="s">
        <v>16</v>
      </c>
      <c r="C106" s="21" t="s">
        <v>122</v>
      </c>
      <c r="D106" s="21" t="s">
        <v>317</v>
      </c>
      <c r="E106" s="22" t="s">
        <v>318</v>
      </c>
      <c r="F106" s="22">
        <v>70083</v>
      </c>
      <c r="G106" s="22" t="s">
        <v>509</v>
      </c>
      <c r="H106" s="22" t="s">
        <v>107</v>
      </c>
      <c r="I106" s="22"/>
      <c r="J106" s="22" t="s">
        <v>510</v>
      </c>
      <c r="K106" s="22"/>
    </row>
    <row r="107" spans="1:11" ht="18" customHeight="1" x14ac:dyDescent="0.35">
      <c r="A107" s="23" t="s">
        <v>511</v>
      </c>
      <c r="B107" s="24" t="s">
        <v>16</v>
      </c>
      <c r="C107" s="23" t="s">
        <v>512</v>
      </c>
      <c r="D107" s="23" t="s">
        <v>513</v>
      </c>
      <c r="E107" s="24" t="s">
        <v>514</v>
      </c>
      <c r="F107" s="24">
        <v>36387</v>
      </c>
      <c r="G107" s="24" t="s">
        <v>515</v>
      </c>
      <c r="H107" s="24" t="s">
        <v>107</v>
      </c>
      <c r="I107" s="24"/>
      <c r="J107" s="24" t="s">
        <v>516</v>
      </c>
      <c r="K107" s="24"/>
    </row>
    <row r="108" spans="1:11" ht="18" customHeight="1" x14ac:dyDescent="0.35">
      <c r="A108" s="21" t="s">
        <v>517</v>
      </c>
      <c r="B108" s="22" t="s">
        <v>16</v>
      </c>
      <c r="C108" s="21" t="s">
        <v>518</v>
      </c>
      <c r="D108" s="21" t="s">
        <v>519</v>
      </c>
      <c r="E108" s="22" t="s">
        <v>219</v>
      </c>
      <c r="F108" s="22">
        <v>31500</v>
      </c>
      <c r="G108" s="22" t="s">
        <v>188</v>
      </c>
      <c r="H108" s="22" t="s">
        <v>107</v>
      </c>
      <c r="I108" s="22"/>
      <c r="J108" s="22" t="s">
        <v>520</v>
      </c>
      <c r="K108" s="22"/>
    </row>
    <row r="109" spans="1:11" ht="18" customHeight="1" x14ac:dyDescent="0.35">
      <c r="A109" s="23" t="s">
        <v>521</v>
      </c>
      <c r="B109" s="24" t="s">
        <v>16</v>
      </c>
      <c r="C109" s="23" t="s">
        <v>522</v>
      </c>
      <c r="D109" s="23" t="s">
        <v>523</v>
      </c>
      <c r="E109" s="24" t="s">
        <v>225</v>
      </c>
      <c r="F109" s="24">
        <v>25000</v>
      </c>
      <c r="G109" s="24" t="s">
        <v>524</v>
      </c>
      <c r="H109" s="24" t="s">
        <v>107</v>
      </c>
      <c r="I109" s="24"/>
      <c r="J109" s="24" t="s">
        <v>525</v>
      </c>
      <c r="K109" s="24"/>
    </row>
    <row r="110" spans="1:11" ht="18" customHeight="1" x14ac:dyDescent="0.35">
      <c r="A110" s="21" t="s">
        <v>526</v>
      </c>
      <c r="B110" s="22" t="s">
        <v>16</v>
      </c>
      <c r="C110" s="21" t="s">
        <v>527</v>
      </c>
      <c r="D110" s="21" t="s">
        <v>528</v>
      </c>
      <c r="E110" s="22" t="s">
        <v>235</v>
      </c>
      <c r="F110" s="22">
        <v>44500</v>
      </c>
      <c r="G110" s="22" t="s">
        <v>304</v>
      </c>
      <c r="H110" s="22" t="s">
        <v>107</v>
      </c>
      <c r="I110" s="22"/>
      <c r="J110" s="22" t="s">
        <v>527</v>
      </c>
      <c r="K110" s="22"/>
    </row>
    <row r="111" spans="1:11" ht="18" customHeight="1" x14ac:dyDescent="0.35">
      <c r="A111" s="23" t="s">
        <v>529</v>
      </c>
      <c r="B111" s="24" t="s">
        <v>16</v>
      </c>
      <c r="C111" s="23" t="s">
        <v>530</v>
      </c>
      <c r="D111" s="23" t="s">
        <v>531</v>
      </c>
      <c r="E111" s="24" t="s">
        <v>105</v>
      </c>
      <c r="F111" s="24">
        <v>47000</v>
      </c>
      <c r="G111" s="24" t="s">
        <v>532</v>
      </c>
      <c r="H111" s="24" t="s">
        <v>107</v>
      </c>
      <c r="I111" s="24"/>
      <c r="J111" s="24" t="s">
        <v>533</v>
      </c>
      <c r="K111" s="24"/>
    </row>
    <row r="112" spans="1:11" ht="18" customHeight="1" x14ac:dyDescent="0.35">
      <c r="A112" s="21" t="s">
        <v>534</v>
      </c>
      <c r="B112" s="22" t="s">
        <v>16</v>
      </c>
      <c r="C112" s="21" t="s">
        <v>535</v>
      </c>
      <c r="D112" s="21" t="s">
        <v>536</v>
      </c>
      <c r="E112" s="22" t="s">
        <v>537</v>
      </c>
      <c r="F112" s="22">
        <v>25000</v>
      </c>
      <c r="G112" s="22" t="s">
        <v>538</v>
      </c>
      <c r="H112" s="22" t="s">
        <v>107</v>
      </c>
      <c r="I112" s="22"/>
      <c r="J112" s="22"/>
      <c r="K112" s="22"/>
    </row>
    <row r="113" spans="1:11" ht="18" customHeight="1" x14ac:dyDescent="0.35">
      <c r="A113" s="23" t="s">
        <v>539</v>
      </c>
      <c r="B113" s="24" t="s">
        <v>16</v>
      </c>
      <c r="C113" s="23" t="s">
        <v>540</v>
      </c>
      <c r="D113" s="23" t="s">
        <v>541</v>
      </c>
      <c r="E113" s="24" t="s">
        <v>192</v>
      </c>
      <c r="F113" s="24">
        <v>54000</v>
      </c>
      <c r="G113" s="24" t="s">
        <v>542</v>
      </c>
      <c r="H113" s="24" t="s">
        <v>107</v>
      </c>
      <c r="I113" s="24"/>
      <c r="J113" s="24" t="s">
        <v>543</v>
      </c>
      <c r="K113" s="24"/>
    </row>
    <row r="114" spans="1:11" ht="18" customHeight="1" x14ac:dyDescent="0.35">
      <c r="A114" s="21" t="s">
        <v>544</v>
      </c>
      <c r="B114" s="22" t="s">
        <v>16</v>
      </c>
      <c r="C114" s="21" t="s">
        <v>545</v>
      </c>
      <c r="D114" s="21" t="s">
        <v>546</v>
      </c>
      <c r="E114" s="22" t="s">
        <v>219</v>
      </c>
      <c r="F114" s="22">
        <v>51000</v>
      </c>
      <c r="G114" s="22" t="s">
        <v>547</v>
      </c>
      <c r="H114" s="22" t="s">
        <v>107</v>
      </c>
      <c r="I114" s="22"/>
      <c r="J114" s="22"/>
      <c r="K114" s="22"/>
    </row>
    <row r="115" spans="1:11" ht="18" customHeight="1" x14ac:dyDescent="0.35">
      <c r="A115" s="23" t="s">
        <v>548</v>
      </c>
      <c r="B115" s="24" t="s">
        <v>16</v>
      </c>
      <c r="C115" s="23" t="s">
        <v>549</v>
      </c>
      <c r="D115" s="23" t="s">
        <v>550</v>
      </c>
      <c r="E115" s="24" t="s">
        <v>250</v>
      </c>
      <c r="F115" s="24">
        <v>106572</v>
      </c>
      <c r="G115" s="24" t="s">
        <v>551</v>
      </c>
      <c r="H115" s="24" t="s">
        <v>107</v>
      </c>
      <c r="I115" s="24"/>
      <c r="J115" s="24" t="s">
        <v>552</v>
      </c>
      <c r="K115" s="24"/>
    </row>
    <row r="116" spans="1:11" ht="18" customHeight="1" x14ac:dyDescent="0.35">
      <c r="A116" s="21" t="s">
        <v>553</v>
      </c>
      <c r="B116" s="22" t="s">
        <v>16</v>
      </c>
      <c r="C116" s="21" t="s">
        <v>554</v>
      </c>
      <c r="D116" s="21" t="s">
        <v>214</v>
      </c>
      <c r="E116" s="22" t="s">
        <v>215</v>
      </c>
      <c r="F116" s="22">
        <v>30000</v>
      </c>
      <c r="G116" s="22" t="s">
        <v>308</v>
      </c>
      <c r="H116" s="22" t="s">
        <v>107</v>
      </c>
      <c r="I116" s="22"/>
      <c r="J116" s="22" t="s">
        <v>205</v>
      </c>
      <c r="K116" s="22"/>
    </row>
    <row r="117" spans="1:11" ht="18" customHeight="1" x14ac:dyDescent="0.35">
      <c r="A117" s="23" t="s">
        <v>555</v>
      </c>
      <c r="B117" s="24" t="s">
        <v>16</v>
      </c>
      <c r="C117" s="23" t="s">
        <v>556</v>
      </c>
      <c r="D117" s="23" t="s">
        <v>557</v>
      </c>
      <c r="E117" s="24" t="s">
        <v>558</v>
      </c>
      <c r="F117" s="24">
        <v>50000</v>
      </c>
      <c r="G117" s="24" t="s">
        <v>188</v>
      </c>
      <c r="H117" s="24" t="s">
        <v>107</v>
      </c>
      <c r="I117" s="24"/>
      <c r="J117" s="24" t="s">
        <v>559</v>
      </c>
      <c r="K117" s="24"/>
    </row>
    <row r="118" spans="1:11" ht="18" customHeight="1" x14ac:dyDescent="0.35">
      <c r="A118" s="21" t="s">
        <v>560</v>
      </c>
      <c r="B118" s="22" t="s">
        <v>16</v>
      </c>
      <c r="C118" s="21" t="s">
        <v>561</v>
      </c>
      <c r="D118" s="21" t="s">
        <v>562</v>
      </c>
      <c r="E118" s="22" t="s">
        <v>117</v>
      </c>
      <c r="F118" s="22">
        <v>30000</v>
      </c>
      <c r="G118" s="22" t="s">
        <v>355</v>
      </c>
      <c r="H118" s="22" t="s">
        <v>107</v>
      </c>
      <c r="I118" s="22"/>
      <c r="J118" s="22" t="s">
        <v>563</v>
      </c>
      <c r="K118" s="22"/>
    </row>
    <row r="119" spans="1:11" ht="18" customHeight="1" x14ac:dyDescent="0.35">
      <c r="A119" s="23" t="s">
        <v>564</v>
      </c>
      <c r="B119" s="24" t="s">
        <v>16</v>
      </c>
      <c r="C119" s="23" t="s">
        <v>565</v>
      </c>
      <c r="D119" s="23" t="s">
        <v>566</v>
      </c>
      <c r="E119" s="24" t="s">
        <v>172</v>
      </c>
      <c r="F119" s="24">
        <v>67277</v>
      </c>
      <c r="G119" s="24" t="s">
        <v>567</v>
      </c>
      <c r="H119" s="24" t="s">
        <v>107</v>
      </c>
      <c r="I119" s="24"/>
      <c r="J119" s="24" t="s">
        <v>568</v>
      </c>
      <c r="K119" s="24"/>
    </row>
    <row r="120" spans="1:11" ht="18" customHeight="1" x14ac:dyDescent="0.35">
      <c r="A120" s="21" t="s">
        <v>569</v>
      </c>
      <c r="B120" s="22" t="s">
        <v>16</v>
      </c>
      <c r="C120" s="21" t="s">
        <v>570</v>
      </c>
      <c r="D120" s="21" t="s">
        <v>224</v>
      </c>
      <c r="E120" s="22" t="s">
        <v>225</v>
      </c>
      <c r="F120" s="22">
        <v>51913</v>
      </c>
      <c r="G120" s="22" t="s">
        <v>571</v>
      </c>
      <c r="H120" s="22" t="s">
        <v>107</v>
      </c>
      <c r="I120" s="22"/>
      <c r="J120" s="22" t="s">
        <v>572</v>
      </c>
      <c r="K120" s="22"/>
    </row>
    <row r="121" spans="1:11" ht="18" customHeight="1" x14ac:dyDescent="0.35">
      <c r="A121" s="23" t="s">
        <v>573</v>
      </c>
      <c r="B121" s="24" t="s">
        <v>16</v>
      </c>
      <c r="C121" s="23" t="s">
        <v>574</v>
      </c>
      <c r="D121" s="23" t="s">
        <v>575</v>
      </c>
      <c r="E121" s="24" t="s">
        <v>204</v>
      </c>
      <c r="F121" s="24">
        <v>52305</v>
      </c>
      <c r="G121" s="24" t="s">
        <v>576</v>
      </c>
      <c r="H121" s="24" t="s">
        <v>107</v>
      </c>
      <c r="I121" s="24"/>
      <c r="J121" s="24" t="s">
        <v>577</v>
      </c>
      <c r="K121" s="24"/>
    </row>
    <row r="122" spans="1:11" ht="18" customHeight="1" x14ac:dyDescent="0.35">
      <c r="A122" s="21" t="s">
        <v>578</v>
      </c>
      <c r="B122" s="22" t="s">
        <v>16</v>
      </c>
      <c r="C122" s="21" t="s">
        <v>579</v>
      </c>
      <c r="D122" s="21" t="s">
        <v>580</v>
      </c>
      <c r="E122" s="22" t="s">
        <v>537</v>
      </c>
      <c r="F122" s="22">
        <v>24877</v>
      </c>
      <c r="G122" s="22" t="s">
        <v>278</v>
      </c>
      <c r="H122" s="22" t="s">
        <v>107</v>
      </c>
      <c r="I122" s="22"/>
      <c r="J122" s="22" t="s">
        <v>581</v>
      </c>
      <c r="K122" s="22"/>
    </row>
    <row r="123" spans="1:11" ht="18" customHeight="1" x14ac:dyDescent="0.35">
      <c r="A123" s="23" t="s">
        <v>582</v>
      </c>
      <c r="B123" s="24" t="s">
        <v>16</v>
      </c>
      <c r="C123" s="23" t="s">
        <v>583</v>
      </c>
      <c r="D123" s="23" t="s">
        <v>584</v>
      </c>
      <c r="E123" s="24" t="s">
        <v>245</v>
      </c>
      <c r="F123" s="24">
        <v>28211</v>
      </c>
      <c r="G123" s="24" t="s">
        <v>585</v>
      </c>
      <c r="H123" s="24" t="s">
        <v>107</v>
      </c>
      <c r="I123" s="24"/>
      <c r="J123" s="24" t="s">
        <v>586</v>
      </c>
      <c r="K123" s="24"/>
    </row>
    <row r="124" spans="1:11" ht="18" customHeight="1" x14ac:dyDescent="0.35">
      <c r="A124" s="21" t="s">
        <v>587</v>
      </c>
      <c r="B124" s="22" t="s">
        <v>16</v>
      </c>
      <c r="C124" s="21" t="s">
        <v>588</v>
      </c>
      <c r="D124" s="21" t="s">
        <v>589</v>
      </c>
      <c r="E124" s="22" t="s">
        <v>219</v>
      </c>
      <c r="F124" s="22">
        <v>35018</v>
      </c>
      <c r="G124" s="22" t="s">
        <v>532</v>
      </c>
      <c r="H124" s="22" t="s">
        <v>107</v>
      </c>
      <c r="I124" s="22"/>
      <c r="J124" s="22" t="s">
        <v>590</v>
      </c>
      <c r="K124" s="22"/>
    </row>
    <row r="125" spans="1:11" ht="18" customHeight="1" x14ac:dyDescent="0.35">
      <c r="A125" s="23" t="s">
        <v>591</v>
      </c>
      <c r="B125" s="24" t="s">
        <v>16</v>
      </c>
      <c r="C125" s="23" t="s">
        <v>592</v>
      </c>
      <c r="D125" s="23" t="s">
        <v>593</v>
      </c>
      <c r="E125" s="24" t="s">
        <v>594</v>
      </c>
      <c r="F125" s="24">
        <v>21000</v>
      </c>
      <c r="G125" s="24" t="s">
        <v>240</v>
      </c>
      <c r="H125" s="24" t="s">
        <v>107</v>
      </c>
      <c r="I125" s="24"/>
      <c r="J125" s="24" t="s">
        <v>595</v>
      </c>
      <c r="K125" s="24"/>
    </row>
    <row r="126" spans="1:11" ht="18" customHeight="1" x14ac:dyDescent="0.35">
      <c r="A126" s="21" t="s">
        <v>596</v>
      </c>
      <c r="B126" s="22" t="s">
        <v>16</v>
      </c>
      <c r="C126" s="21" t="s">
        <v>597</v>
      </c>
      <c r="D126" s="21" t="s">
        <v>283</v>
      </c>
      <c r="E126" s="22" t="s">
        <v>598</v>
      </c>
      <c r="F126" s="22">
        <v>22500</v>
      </c>
      <c r="G126" s="22" t="s">
        <v>599</v>
      </c>
      <c r="H126" s="22" t="s">
        <v>107</v>
      </c>
      <c r="I126" s="22"/>
      <c r="J126" s="22"/>
      <c r="K126" s="22"/>
    </row>
    <row r="127" spans="1:11" ht="18" customHeight="1" x14ac:dyDescent="0.35">
      <c r="A127" s="23" t="s">
        <v>600</v>
      </c>
      <c r="B127" s="24" t="s">
        <v>16</v>
      </c>
      <c r="C127" s="23" t="s">
        <v>601</v>
      </c>
      <c r="D127" s="23" t="s">
        <v>602</v>
      </c>
      <c r="E127" s="24" t="s">
        <v>215</v>
      </c>
      <c r="F127" s="24">
        <v>30000</v>
      </c>
      <c r="G127" s="24" t="s">
        <v>603</v>
      </c>
      <c r="H127" s="24" t="s">
        <v>107</v>
      </c>
      <c r="I127" s="24"/>
      <c r="J127" s="24" t="s">
        <v>604</v>
      </c>
      <c r="K127" s="24"/>
    </row>
    <row r="128" spans="1:11" ht="18" customHeight="1" x14ac:dyDescent="0.35">
      <c r="A128" s="21" t="s">
        <v>605</v>
      </c>
      <c r="B128" s="22" t="s">
        <v>16</v>
      </c>
      <c r="C128" s="21" t="s">
        <v>606</v>
      </c>
      <c r="D128" s="21" t="s">
        <v>607</v>
      </c>
      <c r="E128" s="22" t="s">
        <v>128</v>
      </c>
      <c r="F128" s="22">
        <v>62467</v>
      </c>
      <c r="G128" s="22" t="s">
        <v>608</v>
      </c>
      <c r="H128" s="22" t="s">
        <v>107</v>
      </c>
      <c r="I128" s="22"/>
      <c r="J128" s="22" t="s">
        <v>609</v>
      </c>
      <c r="K128" s="22"/>
    </row>
    <row r="129" spans="1:11" ht="18" customHeight="1" x14ac:dyDescent="0.35">
      <c r="A129" s="23" t="s">
        <v>610</v>
      </c>
      <c r="B129" s="24" t="s">
        <v>16</v>
      </c>
      <c r="C129" s="23" t="s">
        <v>611</v>
      </c>
      <c r="D129" s="23" t="s">
        <v>612</v>
      </c>
      <c r="E129" s="24" t="s">
        <v>148</v>
      </c>
      <c r="F129" s="24">
        <v>76057</v>
      </c>
      <c r="G129" s="24" t="s">
        <v>613</v>
      </c>
      <c r="H129" s="24" t="s">
        <v>107</v>
      </c>
      <c r="I129" s="24"/>
      <c r="J129" s="24" t="s">
        <v>614</v>
      </c>
      <c r="K129" s="24"/>
    </row>
    <row r="130" spans="1:11" ht="18" customHeight="1" x14ac:dyDescent="0.35">
      <c r="A130" s="21" t="s">
        <v>615</v>
      </c>
      <c r="B130" s="22" t="s">
        <v>16</v>
      </c>
      <c r="C130" s="21" t="s">
        <v>616</v>
      </c>
      <c r="D130" s="21" t="s">
        <v>617</v>
      </c>
      <c r="E130" s="22" t="s">
        <v>537</v>
      </c>
      <c r="F130" s="22">
        <v>61500</v>
      </c>
      <c r="G130" s="22" t="s">
        <v>618</v>
      </c>
      <c r="H130" s="22" t="s">
        <v>107</v>
      </c>
      <c r="I130" s="22"/>
      <c r="J130" s="22"/>
      <c r="K130" s="22"/>
    </row>
    <row r="131" spans="1:11" ht="18" customHeight="1" x14ac:dyDescent="0.35">
      <c r="A131" s="23" t="s">
        <v>619</v>
      </c>
      <c r="B131" s="24" t="s">
        <v>16</v>
      </c>
      <c r="C131" s="23" t="s">
        <v>620</v>
      </c>
      <c r="D131" s="23" t="s">
        <v>621</v>
      </c>
      <c r="E131" s="24" t="s">
        <v>622</v>
      </c>
      <c r="F131" s="24">
        <v>36000</v>
      </c>
      <c r="G131" s="24" t="s">
        <v>623</v>
      </c>
      <c r="H131" s="24" t="s">
        <v>107</v>
      </c>
      <c r="I131" s="24"/>
      <c r="J131" s="24"/>
      <c r="K131" s="24"/>
    </row>
    <row r="132" spans="1:11" ht="18" customHeight="1" x14ac:dyDescent="0.35">
      <c r="A132" s="21" t="s">
        <v>624</v>
      </c>
      <c r="B132" s="22" t="s">
        <v>16</v>
      </c>
      <c r="C132" s="21" t="s">
        <v>625</v>
      </c>
      <c r="D132" s="21" t="s">
        <v>626</v>
      </c>
      <c r="E132" s="22" t="s">
        <v>198</v>
      </c>
      <c r="F132" s="22">
        <v>50782</v>
      </c>
      <c r="G132" s="22" t="s">
        <v>627</v>
      </c>
      <c r="H132" s="22" t="s">
        <v>107</v>
      </c>
      <c r="I132" s="22"/>
      <c r="J132" s="22" t="s">
        <v>628</v>
      </c>
      <c r="K132" s="22"/>
    </row>
    <row r="133" spans="1:11" ht="18" customHeight="1" x14ac:dyDescent="0.35">
      <c r="A133" s="23" t="s">
        <v>629</v>
      </c>
      <c r="B133" s="24" t="s">
        <v>16</v>
      </c>
      <c r="C133" s="23" t="s">
        <v>630</v>
      </c>
      <c r="D133" s="23" t="s">
        <v>494</v>
      </c>
      <c r="E133" s="24" t="s">
        <v>128</v>
      </c>
      <c r="F133" s="24">
        <v>18203</v>
      </c>
      <c r="G133" s="24" t="s">
        <v>631</v>
      </c>
      <c r="H133" s="24" t="s">
        <v>107</v>
      </c>
      <c r="I133" s="24"/>
      <c r="J133" s="24" t="s">
        <v>632</v>
      </c>
      <c r="K133" s="24"/>
    </row>
    <row r="134" spans="1:11" ht="18" customHeight="1" x14ac:dyDescent="0.35">
      <c r="A134" s="21" t="s">
        <v>633</v>
      </c>
      <c r="B134" s="22" t="s">
        <v>16</v>
      </c>
      <c r="C134" s="21" t="s">
        <v>634</v>
      </c>
      <c r="D134" s="21" t="s">
        <v>635</v>
      </c>
      <c r="E134" s="22" t="s">
        <v>636</v>
      </c>
      <c r="F134" s="22">
        <v>30406</v>
      </c>
      <c r="G134" s="22" t="s">
        <v>637</v>
      </c>
      <c r="H134" s="22" t="s">
        <v>107</v>
      </c>
      <c r="I134" s="22"/>
      <c r="J134" s="22" t="s">
        <v>638</v>
      </c>
      <c r="K134" s="22"/>
    </row>
    <row r="135" spans="1:11" ht="18" customHeight="1" x14ac:dyDescent="0.35">
      <c r="A135" s="23" t="s">
        <v>639</v>
      </c>
      <c r="B135" s="24" t="s">
        <v>16</v>
      </c>
      <c r="C135" s="23" t="s">
        <v>640</v>
      </c>
      <c r="D135" s="23" t="s">
        <v>224</v>
      </c>
      <c r="E135" s="24" t="s">
        <v>225</v>
      </c>
      <c r="F135" s="24">
        <v>24333</v>
      </c>
      <c r="G135" s="24" t="s">
        <v>251</v>
      </c>
      <c r="H135" s="24" t="s">
        <v>107</v>
      </c>
      <c r="I135" s="24"/>
      <c r="J135" s="24"/>
      <c r="K135" s="24"/>
    </row>
    <row r="136" spans="1:11" ht="18" customHeight="1" x14ac:dyDescent="0.35">
      <c r="A136" s="21" t="s">
        <v>641</v>
      </c>
      <c r="B136" s="22" t="s">
        <v>16</v>
      </c>
      <c r="C136" s="21" t="s">
        <v>642</v>
      </c>
      <c r="D136" s="21" t="s">
        <v>643</v>
      </c>
      <c r="E136" s="22" t="s">
        <v>105</v>
      </c>
      <c r="F136" s="22">
        <v>100119</v>
      </c>
      <c r="G136" s="22" t="s">
        <v>355</v>
      </c>
      <c r="H136" s="22" t="s">
        <v>107</v>
      </c>
      <c r="I136" s="22"/>
      <c r="J136" s="22" t="s">
        <v>644</v>
      </c>
      <c r="K136" s="22"/>
    </row>
    <row r="137" spans="1:11" ht="18" customHeight="1" x14ac:dyDescent="0.35">
      <c r="A137" s="23" t="s">
        <v>645</v>
      </c>
      <c r="B137" s="24" t="s">
        <v>16</v>
      </c>
      <c r="C137" s="23" t="s">
        <v>646</v>
      </c>
      <c r="D137" s="23" t="s">
        <v>647</v>
      </c>
      <c r="E137" s="24" t="s">
        <v>105</v>
      </c>
      <c r="F137" s="24">
        <v>30100</v>
      </c>
      <c r="G137" s="24" t="s">
        <v>648</v>
      </c>
      <c r="H137" s="24" t="s">
        <v>107</v>
      </c>
      <c r="I137" s="24"/>
      <c r="J137" s="24" t="s">
        <v>649</v>
      </c>
      <c r="K137" s="24"/>
    </row>
    <row r="138" spans="1:11" ht="18" customHeight="1" x14ac:dyDescent="0.35">
      <c r="A138" s="21" t="s">
        <v>650</v>
      </c>
      <c r="B138" s="22" t="s">
        <v>16</v>
      </c>
      <c r="C138" s="21" t="s">
        <v>651</v>
      </c>
      <c r="D138" s="21" t="s">
        <v>652</v>
      </c>
      <c r="E138" s="22" t="s">
        <v>558</v>
      </c>
      <c r="F138" s="22">
        <v>41525</v>
      </c>
      <c r="G138" s="22" t="s">
        <v>653</v>
      </c>
      <c r="H138" s="22" t="s">
        <v>107</v>
      </c>
      <c r="I138" s="22"/>
      <c r="J138" s="22" t="s">
        <v>654</v>
      </c>
      <c r="K138" s="22"/>
    </row>
    <row r="139" spans="1:11" ht="18" customHeight="1" x14ac:dyDescent="0.35">
      <c r="A139" s="23" t="s">
        <v>655</v>
      </c>
      <c r="B139" s="24" t="s">
        <v>16</v>
      </c>
      <c r="C139" s="23" t="s">
        <v>656</v>
      </c>
      <c r="D139" s="23" t="s">
        <v>657</v>
      </c>
      <c r="E139" s="24" t="s">
        <v>622</v>
      </c>
      <c r="F139" s="24">
        <v>60311</v>
      </c>
      <c r="G139" s="24" t="s">
        <v>443</v>
      </c>
      <c r="H139" s="24" t="s">
        <v>107</v>
      </c>
      <c r="I139" s="24"/>
      <c r="J139" s="24"/>
      <c r="K139" s="24"/>
    </row>
    <row r="140" spans="1:11" ht="18" customHeight="1" x14ac:dyDescent="0.35">
      <c r="A140" s="21" t="s">
        <v>658</v>
      </c>
      <c r="B140" s="22" t="s">
        <v>16</v>
      </c>
      <c r="C140" s="21" t="s">
        <v>659</v>
      </c>
      <c r="D140" s="21" t="s">
        <v>489</v>
      </c>
      <c r="E140" s="22" t="s">
        <v>660</v>
      </c>
      <c r="F140" s="22">
        <v>18500</v>
      </c>
      <c r="G140" s="22" t="s">
        <v>661</v>
      </c>
      <c r="H140" s="22" t="s">
        <v>107</v>
      </c>
      <c r="I140" s="22"/>
      <c r="J140" s="22" t="s">
        <v>662</v>
      </c>
      <c r="K140" s="22"/>
    </row>
    <row r="141" spans="1:11" ht="18" customHeight="1" x14ac:dyDescent="0.35">
      <c r="A141" s="23" t="s">
        <v>663</v>
      </c>
      <c r="B141" s="24" t="s">
        <v>16</v>
      </c>
      <c r="C141" s="23" t="s">
        <v>664</v>
      </c>
      <c r="D141" s="23" t="s">
        <v>665</v>
      </c>
      <c r="E141" s="24" t="s">
        <v>209</v>
      </c>
      <c r="F141" s="24">
        <v>25319</v>
      </c>
      <c r="G141" s="24" t="s">
        <v>666</v>
      </c>
      <c r="H141" s="24" t="s">
        <v>107</v>
      </c>
      <c r="I141" s="24"/>
      <c r="J141" s="24" t="s">
        <v>667</v>
      </c>
      <c r="K141" s="24"/>
    </row>
    <row r="142" spans="1:11" ht="18" customHeight="1" x14ac:dyDescent="0.35">
      <c r="A142" s="21" t="s">
        <v>668</v>
      </c>
      <c r="B142" s="22" t="s">
        <v>16</v>
      </c>
      <c r="C142" s="21" t="s">
        <v>669</v>
      </c>
      <c r="D142" s="21" t="s">
        <v>670</v>
      </c>
      <c r="E142" s="22" t="s">
        <v>636</v>
      </c>
      <c r="F142" s="22">
        <v>76212</v>
      </c>
      <c r="G142" s="22" t="s">
        <v>671</v>
      </c>
      <c r="H142" s="22" t="s">
        <v>107</v>
      </c>
      <c r="I142" s="22"/>
      <c r="J142" s="22"/>
      <c r="K142" s="22"/>
    </row>
    <row r="143" spans="1:11" ht="18" customHeight="1" x14ac:dyDescent="0.35">
      <c r="A143" s="23" t="s">
        <v>672</v>
      </c>
      <c r="B143" s="24" t="s">
        <v>16</v>
      </c>
      <c r="C143" s="23" t="s">
        <v>673</v>
      </c>
      <c r="D143" s="23" t="s">
        <v>673</v>
      </c>
      <c r="E143" s="24" t="s">
        <v>209</v>
      </c>
      <c r="F143" s="24">
        <v>33572</v>
      </c>
      <c r="G143" s="24" t="s">
        <v>367</v>
      </c>
      <c r="H143" s="24" t="s">
        <v>107</v>
      </c>
      <c r="I143" s="24"/>
      <c r="J143" s="24" t="s">
        <v>674</v>
      </c>
      <c r="K143" s="24"/>
    </row>
    <row r="144" spans="1:11" ht="18" customHeight="1" x14ac:dyDescent="0.35">
      <c r="A144" s="21" t="s">
        <v>675</v>
      </c>
      <c r="B144" s="22" t="s">
        <v>16</v>
      </c>
      <c r="C144" s="21" t="s">
        <v>676</v>
      </c>
      <c r="D144" s="21" t="s">
        <v>677</v>
      </c>
      <c r="E144" s="22" t="s">
        <v>105</v>
      </c>
      <c r="F144" s="22">
        <v>14000</v>
      </c>
      <c r="G144" s="22" t="s">
        <v>678</v>
      </c>
      <c r="H144" s="22" t="s">
        <v>107</v>
      </c>
      <c r="I144" s="22"/>
      <c r="J144" s="22" t="s">
        <v>679</v>
      </c>
      <c r="K144" s="22"/>
    </row>
    <row r="145" spans="1:11" ht="18" customHeight="1" x14ac:dyDescent="0.35">
      <c r="A145" s="23" t="s">
        <v>680</v>
      </c>
      <c r="B145" s="24" t="s">
        <v>16</v>
      </c>
      <c r="C145" s="23" t="s">
        <v>681</v>
      </c>
      <c r="D145" s="23" t="s">
        <v>682</v>
      </c>
      <c r="E145" s="24" t="s">
        <v>112</v>
      </c>
      <c r="F145" s="24">
        <v>39441</v>
      </c>
      <c r="G145" s="24" t="s">
        <v>389</v>
      </c>
      <c r="H145" s="24" t="s">
        <v>107</v>
      </c>
      <c r="I145" s="24"/>
      <c r="J145" s="24" t="s">
        <v>683</v>
      </c>
      <c r="K145" s="24"/>
    </row>
    <row r="146" spans="1:11" ht="18" customHeight="1" x14ac:dyDescent="0.35">
      <c r="A146" s="21" t="s">
        <v>684</v>
      </c>
      <c r="B146" s="22" t="s">
        <v>16</v>
      </c>
      <c r="C146" s="21" t="s">
        <v>685</v>
      </c>
      <c r="D146" s="21" t="s">
        <v>686</v>
      </c>
      <c r="E146" s="22" t="s">
        <v>266</v>
      </c>
      <c r="F146" s="22">
        <v>57321</v>
      </c>
      <c r="G146" s="22" t="s">
        <v>687</v>
      </c>
      <c r="H146" s="22" t="s">
        <v>107</v>
      </c>
      <c r="I146" s="22"/>
      <c r="J146" s="22" t="s">
        <v>688</v>
      </c>
      <c r="K146" s="22"/>
    </row>
    <row r="147" spans="1:11" ht="18" customHeight="1" x14ac:dyDescent="0.35">
      <c r="A147" s="23" t="s">
        <v>689</v>
      </c>
      <c r="B147" s="24" t="s">
        <v>16</v>
      </c>
      <c r="C147" s="23" t="s">
        <v>690</v>
      </c>
      <c r="D147" s="23" t="s">
        <v>691</v>
      </c>
      <c r="E147" s="24" t="s">
        <v>225</v>
      </c>
      <c r="F147" s="24">
        <v>10200</v>
      </c>
      <c r="G147" s="24" t="s">
        <v>177</v>
      </c>
      <c r="H147" s="24" t="s">
        <v>107</v>
      </c>
      <c r="I147" s="24"/>
      <c r="J147" s="24" t="s">
        <v>692</v>
      </c>
      <c r="K147" s="24"/>
    </row>
    <row r="148" spans="1:11" ht="18" customHeight="1" x14ac:dyDescent="0.35">
      <c r="A148" s="21" t="s">
        <v>693</v>
      </c>
      <c r="B148" s="22" t="s">
        <v>16</v>
      </c>
      <c r="C148" s="21" t="s">
        <v>694</v>
      </c>
      <c r="D148" s="21" t="s">
        <v>335</v>
      </c>
      <c r="E148" s="22" t="s">
        <v>142</v>
      </c>
      <c r="F148" s="22">
        <v>40350</v>
      </c>
      <c r="G148" s="22" t="s">
        <v>695</v>
      </c>
      <c r="H148" s="22" t="s">
        <v>107</v>
      </c>
      <c r="I148" s="22"/>
      <c r="J148" s="22" t="s">
        <v>696</v>
      </c>
      <c r="K148" s="22"/>
    </row>
    <row r="149" spans="1:11" ht="18" customHeight="1" x14ac:dyDescent="0.35">
      <c r="A149" s="23" t="s">
        <v>697</v>
      </c>
      <c r="B149" s="24" t="s">
        <v>16</v>
      </c>
      <c r="C149" s="23" t="s">
        <v>698</v>
      </c>
      <c r="D149" s="23" t="s">
        <v>699</v>
      </c>
      <c r="E149" s="24" t="s">
        <v>112</v>
      </c>
      <c r="F149" s="24">
        <v>50183</v>
      </c>
      <c r="G149" s="24" t="s">
        <v>355</v>
      </c>
      <c r="H149" s="24" t="s">
        <v>107</v>
      </c>
      <c r="I149" s="24"/>
      <c r="J149" s="24" t="s">
        <v>700</v>
      </c>
      <c r="K149" s="24"/>
    </row>
    <row r="150" spans="1:11" ht="18" customHeight="1" x14ac:dyDescent="0.35">
      <c r="A150" s="21" t="s">
        <v>701</v>
      </c>
      <c r="B150" s="22" t="s">
        <v>16</v>
      </c>
      <c r="C150" s="21" t="s">
        <v>702</v>
      </c>
      <c r="D150" s="21" t="s">
        <v>702</v>
      </c>
      <c r="E150" s="22" t="s">
        <v>594</v>
      </c>
      <c r="F150" s="22">
        <v>81500</v>
      </c>
      <c r="G150" s="22" t="s">
        <v>703</v>
      </c>
      <c r="H150" s="22" t="s">
        <v>107</v>
      </c>
      <c r="I150" s="22"/>
      <c r="J150" s="22"/>
      <c r="K150" s="22"/>
    </row>
    <row r="151" spans="1:11" ht="18" customHeight="1" x14ac:dyDescent="0.35">
      <c r="A151" s="23" t="s">
        <v>704</v>
      </c>
      <c r="B151" s="24" t="s">
        <v>16</v>
      </c>
      <c r="C151" s="23" t="s">
        <v>705</v>
      </c>
      <c r="D151" s="23" t="s">
        <v>706</v>
      </c>
      <c r="E151" s="24" t="s">
        <v>198</v>
      </c>
      <c r="F151" s="24">
        <v>53599</v>
      </c>
      <c r="G151" s="24" t="s">
        <v>707</v>
      </c>
      <c r="H151" s="24" t="s">
        <v>107</v>
      </c>
      <c r="I151" s="24"/>
      <c r="J151" s="24"/>
      <c r="K151" s="24"/>
    </row>
    <row r="152" spans="1:11" ht="18" customHeight="1" x14ac:dyDescent="0.35">
      <c r="A152" s="21" t="s">
        <v>708</v>
      </c>
      <c r="B152" s="22" t="s">
        <v>16</v>
      </c>
      <c r="C152" s="21" t="s">
        <v>171</v>
      </c>
      <c r="D152" s="21" t="s">
        <v>709</v>
      </c>
      <c r="E152" s="22" t="s">
        <v>209</v>
      </c>
      <c r="F152" s="22">
        <v>30087</v>
      </c>
      <c r="G152" s="22" t="s">
        <v>710</v>
      </c>
      <c r="H152" s="22" t="s">
        <v>107</v>
      </c>
      <c r="I152" s="22"/>
      <c r="J152" s="22" t="s">
        <v>711</v>
      </c>
      <c r="K152" s="22"/>
    </row>
    <row r="153" spans="1:11" ht="18" customHeight="1" x14ac:dyDescent="0.35">
      <c r="A153" s="23" t="s">
        <v>712</v>
      </c>
      <c r="B153" s="24" t="s">
        <v>16</v>
      </c>
      <c r="C153" s="23" t="s">
        <v>713</v>
      </c>
      <c r="D153" s="23" t="s">
        <v>714</v>
      </c>
      <c r="E153" s="24" t="s">
        <v>204</v>
      </c>
      <c r="F153" s="24">
        <v>80126</v>
      </c>
      <c r="G153" s="24" t="s">
        <v>608</v>
      </c>
      <c r="H153" s="24" t="s">
        <v>107</v>
      </c>
      <c r="I153" s="24"/>
      <c r="J153" s="24" t="s">
        <v>715</v>
      </c>
      <c r="K153" s="24"/>
    </row>
    <row r="154" spans="1:11" ht="18" customHeight="1" x14ac:dyDescent="0.35">
      <c r="A154" s="21" t="s">
        <v>716</v>
      </c>
      <c r="B154" s="22" t="s">
        <v>16</v>
      </c>
      <c r="C154" s="21" t="s">
        <v>717</v>
      </c>
      <c r="D154" s="21" t="s">
        <v>718</v>
      </c>
      <c r="E154" s="22" t="s">
        <v>105</v>
      </c>
      <c r="F154" s="22">
        <v>32000</v>
      </c>
      <c r="G154" s="22" t="s">
        <v>345</v>
      </c>
      <c r="H154" s="22" t="s">
        <v>107</v>
      </c>
      <c r="I154" s="22"/>
      <c r="J154" s="22" t="s">
        <v>719</v>
      </c>
      <c r="K154" s="22"/>
    </row>
    <row r="155" spans="1:11" ht="18" customHeight="1" x14ac:dyDescent="0.35">
      <c r="A155" s="23" t="s">
        <v>73</v>
      </c>
      <c r="B155" s="24" t="s">
        <v>16</v>
      </c>
      <c r="C155" s="23" t="s">
        <v>720</v>
      </c>
      <c r="D155" s="23" t="s">
        <v>721</v>
      </c>
      <c r="E155" s="24" t="s">
        <v>245</v>
      </c>
      <c r="F155" s="24">
        <v>60670</v>
      </c>
      <c r="G155" s="24" t="s">
        <v>608</v>
      </c>
      <c r="H155" s="24" t="s">
        <v>107</v>
      </c>
      <c r="I155" s="24"/>
      <c r="J155" s="24" t="s">
        <v>722</v>
      </c>
      <c r="K155" s="24"/>
    </row>
    <row r="156" spans="1:11" ht="18" customHeight="1" x14ac:dyDescent="0.35">
      <c r="A156" s="21" t="s">
        <v>723</v>
      </c>
      <c r="B156" s="22" t="s">
        <v>16</v>
      </c>
      <c r="C156" s="21" t="s">
        <v>724</v>
      </c>
      <c r="D156" s="21" t="s">
        <v>724</v>
      </c>
      <c r="E156" s="22" t="s">
        <v>209</v>
      </c>
      <c r="F156" s="22">
        <v>26038</v>
      </c>
      <c r="G156" s="22" t="s">
        <v>725</v>
      </c>
      <c r="H156" s="22" t="s">
        <v>107</v>
      </c>
      <c r="I156" s="22"/>
      <c r="J156" s="22" t="s">
        <v>726</v>
      </c>
      <c r="K156" s="22"/>
    </row>
    <row r="157" spans="1:11" ht="18" customHeight="1" x14ac:dyDescent="0.35">
      <c r="A157" s="23" t="s">
        <v>727</v>
      </c>
      <c r="B157" s="24" t="s">
        <v>16</v>
      </c>
      <c r="C157" s="23" t="s">
        <v>728</v>
      </c>
      <c r="D157" s="23" t="s">
        <v>729</v>
      </c>
      <c r="E157" s="24" t="s">
        <v>598</v>
      </c>
      <c r="F157" s="24">
        <v>25450</v>
      </c>
      <c r="G157" s="24" t="s">
        <v>261</v>
      </c>
      <c r="H157" s="24" t="s">
        <v>107</v>
      </c>
      <c r="I157" s="24"/>
      <c r="J157" s="24" t="s">
        <v>730</v>
      </c>
      <c r="K157" s="24"/>
    </row>
    <row r="158" spans="1:11" ht="18" customHeight="1" x14ac:dyDescent="0.35">
      <c r="A158" s="21" t="s">
        <v>731</v>
      </c>
      <c r="B158" s="22" t="s">
        <v>16</v>
      </c>
      <c r="C158" s="21" t="s">
        <v>732</v>
      </c>
      <c r="D158" s="21" t="s">
        <v>162</v>
      </c>
      <c r="E158" s="22" t="s">
        <v>128</v>
      </c>
      <c r="F158" s="22">
        <v>21195</v>
      </c>
      <c r="G158" s="22" t="s">
        <v>666</v>
      </c>
      <c r="H158" s="22" t="s">
        <v>107</v>
      </c>
      <c r="I158" s="22"/>
      <c r="J158" s="22"/>
      <c r="K158" s="22"/>
    </row>
    <row r="159" spans="1:11" ht="18" customHeight="1" x14ac:dyDescent="0.35">
      <c r="A159" s="23" t="s">
        <v>733</v>
      </c>
      <c r="B159" s="24" t="s">
        <v>16</v>
      </c>
      <c r="C159" s="23" t="s">
        <v>734</v>
      </c>
      <c r="D159" s="23" t="s">
        <v>673</v>
      </c>
      <c r="E159" s="24" t="s">
        <v>735</v>
      </c>
      <c r="F159" s="24">
        <v>22113</v>
      </c>
      <c r="G159" s="24" t="s">
        <v>188</v>
      </c>
      <c r="H159" s="24" t="s">
        <v>107</v>
      </c>
      <c r="I159" s="24"/>
      <c r="J159" s="24"/>
      <c r="K159" s="24"/>
    </row>
    <row r="160" spans="1:11" ht="18" customHeight="1" x14ac:dyDescent="0.35">
      <c r="A160" s="21" t="s">
        <v>736</v>
      </c>
      <c r="B160" s="22" t="s">
        <v>16</v>
      </c>
      <c r="C160" s="21" t="s">
        <v>737</v>
      </c>
      <c r="D160" s="21" t="s">
        <v>738</v>
      </c>
      <c r="E160" s="22" t="s">
        <v>172</v>
      </c>
      <c r="F160" s="22">
        <v>30000</v>
      </c>
      <c r="G160" s="22" t="s">
        <v>648</v>
      </c>
      <c r="H160" s="22" t="s">
        <v>107</v>
      </c>
      <c r="I160" s="22"/>
      <c r="J160" s="22"/>
      <c r="K160" s="22"/>
    </row>
    <row r="161" spans="1:11" ht="18" customHeight="1" x14ac:dyDescent="0.35">
      <c r="A161" s="23" t="s">
        <v>739</v>
      </c>
      <c r="B161" s="24" t="s">
        <v>16</v>
      </c>
      <c r="C161" s="23" t="s">
        <v>740</v>
      </c>
      <c r="D161" s="23" t="s">
        <v>228</v>
      </c>
      <c r="E161" s="24" t="s">
        <v>229</v>
      </c>
      <c r="F161" s="24">
        <v>50805</v>
      </c>
      <c r="G161" s="24" t="s">
        <v>272</v>
      </c>
      <c r="H161" s="24" t="s">
        <v>107</v>
      </c>
      <c r="I161" s="24"/>
      <c r="J161" s="24" t="s">
        <v>741</v>
      </c>
      <c r="K161" s="24"/>
    </row>
    <row r="162" spans="1:11" ht="18" customHeight="1" x14ac:dyDescent="0.35">
      <c r="A162" s="21" t="s">
        <v>742</v>
      </c>
      <c r="B162" s="22" t="s">
        <v>16</v>
      </c>
      <c r="C162" s="21" t="s">
        <v>743</v>
      </c>
      <c r="D162" s="21" t="s">
        <v>743</v>
      </c>
      <c r="E162" s="22" t="s">
        <v>209</v>
      </c>
      <c r="F162" s="22">
        <v>30000</v>
      </c>
      <c r="G162" s="22" t="s">
        <v>272</v>
      </c>
      <c r="H162" s="22" t="s">
        <v>107</v>
      </c>
      <c r="I162" s="22"/>
      <c r="J162" s="22" t="s">
        <v>744</v>
      </c>
      <c r="K162" s="22"/>
    </row>
    <row r="163" spans="1:11" ht="18" customHeight="1" x14ac:dyDescent="0.35">
      <c r="A163" s="23" t="s">
        <v>87</v>
      </c>
      <c r="B163" s="24" t="s">
        <v>16</v>
      </c>
      <c r="C163" s="23" t="s">
        <v>745</v>
      </c>
      <c r="D163" s="23" t="s">
        <v>746</v>
      </c>
      <c r="E163" s="24" t="s">
        <v>747</v>
      </c>
      <c r="F163" s="24">
        <v>61500</v>
      </c>
      <c r="G163" s="24" t="s">
        <v>278</v>
      </c>
      <c r="H163" s="24" t="s">
        <v>107</v>
      </c>
      <c r="I163" s="24"/>
      <c r="J163" s="24" t="s">
        <v>748</v>
      </c>
      <c r="K163" s="24"/>
    </row>
    <row r="164" spans="1:11" ht="18" customHeight="1" x14ac:dyDescent="0.35">
      <c r="A164" s="21" t="s">
        <v>749</v>
      </c>
      <c r="B164" s="22" t="s">
        <v>16</v>
      </c>
      <c r="C164" s="21" t="s">
        <v>750</v>
      </c>
      <c r="D164" s="21" t="s">
        <v>751</v>
      </c>
      <c r="E164" s="22" t="s">
        <v>105</v>
      </c>
      <c r="F164" s="22">
        <v>28388</v>
      </c>
      <c r="G164" s="22" t="s">
        <v>752</v>
      </c>
      <c r="H164" s="22" t="s">
        <v>107</v>
      </c>
      <c r="I164" s="22"/>
      <c r="J164" s="22"/>
      <c r="K164" s="22"/>
    </row>
    <row r="165" spans="1:11" ht="18" customHeight="1" x14ac:dyDescent="0.35">
      <c r="A165" s="23" t="s">
        <v>753</v>
      </c>
      <c r="B165" s="24" t="s">
        <v>16</v>
      </c>
      <c r="C165" s="23" t="s">
        <v>754</v>
      </c>
      <c r="D165" s="23" t="s">
        <v>755</v>
      </c>
      <c r="E165" s="24" t="s">
        <v>756</v>
      </c>
      <c r="F165" s="24">
        <v>30475</v>
      </c>
      <c r="G165" s="24" t="s">
        <v>137</v>
      </c>
      <c r="H165" s="24" t="s">
        <v>107</v>
      </c>
      <c r="I165" s="24"/>
      <c r="J165" s="24" t="s">
        <v>757</v>
      </c>
      <c r="K165" s="24"/>
    </row>
    <row r="166" spans="1:11" ht="18" customHeight="1" x14ac:dyDescent="0.35">
      <c r="A166" s="21" t="s">
        <v>758</v>
      </c>
      <c r="B166" s="22" t="s">
        <v>16</v>
      </c>
      <c r="C166" s="21" t="s">
        <v>759</v>
      </c>
      <c r="D166" s="21" t="s">
        <v>760</v>
      </c>
      <c r="E166" s="22" t="s">
        <v>215</v>
      </c>
      <c r="F166" s="22">
        <v>28562</v>
      </c>
      <c r="G166" s="22" t="s">
        <v>188</v>
      </c>
      <c r="H166" s="22" t="s">
        <v>107</v>
      </c>
      <c r="I166" s="22"/>
      <c r="J166" s="22" t="s">
        <v>761</v>
      </c>
      <c r="K166" s="22"/>
    </row>
    <row r="167" spans="1:11" ht="18" customHeight="1" x14ac:dyDescent="0.35">
      <c r="A167" s="23" t="s">
        <v>762</v>
      </c>
      <c r="B167" s="24" t="s">
        <v>16</v>
      </c>
      <c r="C167" s="23" t="s">
        <v>239</v>
      </c>
      <c r="D167" s="23" t="s">
        <v>239</v>
      </c>
      <c r="E167" s="24" t="s">
        <v>105</v>
      </c>
      <c r="F167" s="24">
        <v>39700</v>
      </c>
      <c r="G167" s="24" t="s">
        <v>308</v>
      </c>
      <c r="H167" s="24" t="s">
        <v>107</v>
      </c>
      <c r="I167" s="24"/>
      <c r="J167" s="24"/>
      <c r="K167" s="24"/>
    </row>
    <row r="168" spans="1:11" ht="18" customHeight="1" x14ac:dyDescent="0.35">
      <c r="A168" s="21" t="s">
        <v>763</v>
      </c>
      <c r="B168" s="22" t="s">
        <v>16</v>
      </c>
      <c r="C168" s="21" t="s">
        <v>764</v>
      </c>
      <c r="D168" s="21" t="s">
        <v>765</v>
      </c>
      <c r="E168" s="22" t="s">
        <v>142</v>
      </c>
      <c r="F168" s="22">
        <v>27303</v>
      </c>
      <c r="G168" s="22" t="s">
        <v>631</v>
      </c>
      <c r="H168" s="22" t="s">
        <v>107</v>
      </c>
      <c r="I168" s="22"/>
      <c r="J168" s="22"/>
      <c r="K168" s="22"/>
    </row>
    <row r="169" spans="1:11" ht="18" customHeight="1" x14ac:dyDescent="0.35">
      <c r="A169" s="23" t="s">
        <v>766</v>
      </c>
      <c r="B169" s="24" t="s">
        <v>16</v>
      </c>
      <c r="C169" s="23" t="s">
        <v>767</v>
      </c>
      <c r="D169" s="23" t="s">
        <v>768</v>
      </c>
      <c r="E169" s="24" t="s">
        <v>769</v>
      </c>
      <c r="F169" s="24">
        <v>29811</v>
      </c>
      <c r="G169" s="24" t="s">
        <v>567</v>
      </c>
      <c r="H169" s="24" t="s">
        <v>107</v>
      </c>
      <c r="I169" s="24"/>
      <c r="J169" s="24"/>
      <c r="K169" s="24"/>
    </row>
    <row r="170" spans="1:11" ht="18" customHeight="1" x14ac:dyDescent="0.35">
      <c r="A170" s="21" t="s">
        <v>770</v>
      </c>
      <c r="B170" s="22" t="s">
        <v>16</v>
      </c>
      <c r="C170" s="21" t="s">
        <v>771</v>
      </c>
      <c r="D170" s="21" t="s">
        <v>772</v>
      </c>
      <c r="E170" s="22" t="s">
        <v>105</v>
      </c>
      <c r="F170" s="22">
        <v>60229</v>
      </c>
      <c r="G170" s="22" t="s">
        <v>599</v>
      </c>
      <c r="H170" s="22" t="s">
        <v>107</v>
      </c>
      <c r="I170" s="22"/>
      <c r="J170" s="22" t="s">
        <v>773</v>
      </c>
      <c r="K170" s="22"/>
    </row>
    <row r="171" spans="1:11" ht="18" customHeight="1" x14ac:dyDescent="0.35">
      <c r="A171" s="23" t="s">
        <v>774</v>
      </c>
      <c r="B171" s="24" t="s">
        <v>16</v>
      </c>
      <c r="C171" s="23" t="s">
        <v>775</v>
      </c>
      <c r="D171" s="23" t="s">
        <v>776</v>
      </c>
      <c r="E171" s="24" t="s">
        <v>182</v>
      </c>
      <c r="F171" s="24">
        <v>35127</v>
      </c>
      <c r="G171" s="24" t="s">
        <v>267</v>
      </c>
      <c r="H171" s="24" t="s">
        <v>107</v>
      </c>
      <c r="I171" s="24"/>
      <c r="J171" s="24"/>
      <c r="K171" s="24"/>
    </row>
    <row r="172" spans="1:11" ht="18" customHeight="1" x14ac:dyDescent="0.35">
      <c r="A172" s="21" t="s">
        <v>777</v>
      </c>
      <c r="B172" s="22" t="s">
        <v>16</v>
      </c>
      <c r="C172" s="21" t="s">
        <v>778</v>
      </c>
      <c r="D172" s="21" t="s">
        <v>779</v>
      </c>
      <c r="E172" s="22" t="s">
        <v>219</v>
      </c>
      <c r="F172" s="22">
        <v>50500</v>
      </c>
      <c r="G172" s="22" t="s">
        <v>687</v>
      </c>
      <c r="H172" s="22" t="s">
        <v>107</v>
      </c>
      <c r="I172" s="22"/>
      <c r="J172" s="22" t="s">
        <v>780</v>
      </c>
      <c r="K172" s="22"/>
    </row>
    <row r="173" spans="1:11" ht="18" customHeight="1" x14ac:dyDescent="0.35">
      <c r="A173" s="23" t="s">
        <v>781</v>
      </c>
      <c r="B173" s="24" t="s">
        <v>16</v>
      </c>
      <c r="C173" s="23" t="s">
        <v>782</v>
      </c>
      <c r="D173" s="23" t="s">
        <v>783</v>
      </c>
      <c r="E173" s="24" t="s">
        <v>219</v>
      </c>
      <c r="F173" s="24">
        <v>30000</v>
      </c>
      <c r="G173" s="24" t="s">
        <v>389</v>
      </c>
      <c r="H173" s="24" t="s">
        <v>107</v>
      </c>
      <c r="I173" s="24"/>
      <c r="J173" s="24" t="s">
        <v>784</v>
      </c>
      <c r="K173" s="24"/>
    </row>
    <row r="174" spans="1:11" ht="18" customHeight="1" x14ac:dyDescent="0.35">
      <c r="A174" s="21" t="s">
        <v>785</v>
      </c>
      <c r="B174" s="22" t="s">
        <v>16</v>
      </c>
      <c r="C174" s="21" t="s">
        <v>786</v>
      </c>
      <c r="D174" s="21" t="s">
        <v>787</v>
      </c>
      <c r="E174" s="22" t="s">
        <v>747</v>
      </c>
      <c r="F174" s="22">
        <v>69250</v>
      </c>
      <c r="G174" s="22" t="s">
        <v>532</v>
      </c>
      <c r="H174" s="22" t="s">
        <v>107</v>
      </c>
      <c r="I174" s="22"/>
      <c r="J174" s="22" t="s">
        <v>788</v>
      </c>
      <c r="K174" s="22"/>
    </row>
    <row r="175" spans="1:11" ht="18" customHeight="1" x14ac:dyDescent="0.35">
      <c r="A175" s="23" t="s">
        <v>789</v>
      </c>
      <c r="B175" s="24" t="s">
        <v>16</v>
      </c>
      <c r="C175" s="23" t="s">
        <v>790</v>
      </c>
      <c r="D175" s="23" t="s">
        <v>791</v>
      </c>
      <c r="E175" s="24" t="s">
        <v>537</v>
      </c>
      <c r="F175" s="24">
        <v>21944</v>
      </c>
      <c r="G175" s="24" t="s">
        <v>792</v>
      </c>
      <c r="H175" s="24" t="s">
        <v>107</v>
      </c>
      <c r="I175" s="24"/>
      <c r="J175" s="24" t="s">
        <v>252</v>
      </c>
      <c r="K175" s="24"/>
    </row>
    <row r="176" spans="1:11" ht="18" customHeight="1" x14ac:dyDescent="0.35">
      <c r="A176" s="21" t="s">
        <v>793</v>
      </c>
      <c r="B176" s="22" t="s">
        <v>16</v>
      </c>
      <c r="C176" s="21" t="s">
        <v>794</v>
      </c>
      <c r="D176" s="21" t="s">
        <v>795</v>
      </c>
      <c r="E176" s="22" t="s">
        <v>735</v>
      </c>
      <c r="F176" s="22">
        <v>61000</v>
      </c>
      <c r="G176" s="22" t="s">
        <v>401</v>
      </c>
      <c r="H176" s="22" t="s">
        <v>107</v>
      </c>
      <c r="I176" s="22"/>
      <c r="J176" s="22"/>
      <c r="K176" s="22"/>
    </row>
    <row r="177" spans="1:11" ht="18" customHeight="1" x14ac:dyDescent="0.35">
      <c r="A177" s="23" t="s">
        <v>66</v>
      </c>
      <c r="B177" s="24" t="s">
        <v>16</v>
      </c>
      <c r="C177" s="23" t="s">
        <v>796</v>
      </c>
      <c r="D177" s="23" t="s">
        <v>797</v>
      </c>
      <c r="E177" s="24" t="s">
        <v>105</v>
      </c>
      <c r="F177" s="24">
        <v>102733</v>
      </c>
      <c r="G177" s="24" t="s">
        <v>687</v>
      </c>
      <c r="H177" s="24" t="s">
        <v>107</v>
      </c>
      <c r="I177" s="24"/>
      <c r="J177" s="24"/>
      <c r="K177" s="24"/>
    </row>
    <row r="178" spans="1:11" ht="18" customHeight="1" x14ac:dyDescent="0.35">
      <c r="A178" s="21" t="s">
        <v>798</v>
      </c>
      <c r="B178" s="22" t="s">
        <v>16</v>
      </c>
      <c r="C178" s="21" t="s">
        <v>799</v>
      </c>
      <c r="D178" s="21" t="s">
        <v>799</v>
      </c>
      <c r="E178" s="22" t="s">
        <v>735</v>
      </c>
      <c r="F178" s="22">
        <v>60800</v>
      </c>
      <c r="G178" s="22" t="s">
        <v>324</v>
      </c>
      <c r="H178" s="22" t="s">
        <v>107</v>
      </c>
      <c r="I178" s="22"/>
      <c r="J178" s="22" t="s">
        <v>800</v>
      </c>
      <c r="K178" s="22"/>
    </row>
    <row r="179" spans="1:11" ht="18" customHeight="1" x14ac:dyDescent="0.35">
      <c r="A179" s="23" t="s">
        <v>801</v>
      </c>
      <c r="B179" s="24" t="s">
        <v>16</v>
      </c>
      <c r="C179" s="23" t="s">
        <v>802</v>
      </c>
      <c r="D179" s="23" t="s">
        <v>803</v>
      </c>
      <c r="E179" s="24" t="s">
        <v>537</v>
      </c>
      <c r="F179" s="24">
        <v>65632</v>
      </c>
      <c r="G179" s="24" t="s">
        <v>585</v>
      </c>
      <c r="H179" s="24" t="s">
        <v>107</v>
      </c>
      <c r="I179" s="24"/>
      <c r="J179" s="24"/>
      <c r="K179" s="24"/>
    </row>
    <row r="180" spans="1:11" ht="18" customHeight="1" x14ac:dyDescent="0.35">
      <c r="A180" s="21" t="s">
        <v>804</v>
      </c>
      <c r="B180" s="22" t="s">
        <v>16</v>
      </c>
      <c r="C180" s="21" t="s">
        <v>805</v>
      </c>
      <c r="D180" s="21" t="s">
        <v>806</v>
      </c>
      <c r="E180" s="22" t="s">
        <v>136</v>
      </c>
      <c r="F180" s="22">
        <v>62073</v>
      </c>
      <c r="G180" s="22" t="s">
        <v>807</v>
      </c>
      <c r="H180" s="22" t="s">
        <v>107</v>
      </c>
      <c r="I180" s="22"/>
      <c r="J180" s="22" t="s">
        <v>808</v>
      </c>
      <c r="K180" s="22"/>
    </row>
    <row r="181" spans="1:11" ht="18" customHeight="1" x14ac:dyDescent="0.35">
      <c r="A181" s="23" t="s">
        <v>809</v>
      </c>
      <c r="B181" s="24" t="s">
        <v>16</v>
      </c>
      <c r="C181" s="23" t="s">
        <v>810</v>
      </c>
      <c r="D181" s="23" t="s">
        <v>132</v>
      </c>
      <c r="E181" s="24" t="s">
        <v>128</v>
      </c>
      <c r="F181" s="24">
        <v>77500</v>
      </c>
      <c r="G181" s="24" t="s">
        <v>608</v>
      </c>
      <c r="H181" s="24" t="s">
        <v>107</v>
      </c>
      <c r="I181" s="24"/>
      <c r="J181" s="24" t="s">
        <v>811</v>
      </c>
      <c r="K181" s="24"/>
    </row>
    <row r="182" spans="1:11" ht="18" customHeight="1" x14ac:dyDescent="0.35">
      <c r="A182" s="21" t="s">
        <v>812</v>
      </c>
      <c r="B182" s="22" t="s">
        <v>16</v>
      </c>
      <c r="C182" s="21" t="s">
        <v>813</v>
      </c>
      <c r="D182" s="21" t="s">
        <v>814</v>
      </c>
      <c r="E182" s="22" t="s">
        <v>260</v>
      </c>
      <c r="F182" s="22">
        <v>27000</v>
      </c>
      <c r="G182" s="22" t="s">
        <v>367</v>
      </c>
      <c r="H182" s="22" t="s">
        <v>107</v>
      </c>
      <c r="I182" s="22"/>
      <c r="J182" s="22" t="s">
        <v>815</v>
      </c>
      <c r="K182" s="22"/>
    </row>
    <row r="183" spans="1:11" ht="18" customHeight="1" x14ac:dyDescent="0.35">
      <c r="A183" s="23" t="s">
        <v>816</v>
      </c>
      <c r="B183" s="24" t="s">
        <v>16</v>
      </c>
      <c r="C183" s="23" t="s">
        <v>817</v>
      </c>
      <c r="D183" s="23" t="s">
        <v>818</v>
      </c>
      <c r="E183" s="24" t="s">
        <v>215</v>
      </c>
      <c r="F183" s="24">
        <v>27617</v>
      </c>
      <c r="G183" s="24" t="s">
        <v>506</v>
      </c>
      <c r="H183" s="24" t="s">
        <v>107</v>
      </c>
      <c r="I183" s="24"/>
      <c r="J183" s="24" t="s">
        <v>819</v>
      </c>
      <c r="K183" s="24"/>
    </row>
    <row r="184" spans="1:11" ht="18" customHeight="1" x14ac:dyDescent="0.35">
      <c r="A184" s="21" t="s">
        <v>820</v>
      </c>
      <c r="B184" s="22" t="s">
        <v>16</v>
      </c>
      <c r="C184" s="21" t="s">
        <v>821</v>
      </c>
      <c r="D184" s="21" t="s">
        <v>822</v>
      </c>
      <c r="E184" s="22" t="s">
        <v>318</v>
      </c>
      <c r="F184" s="22">
        <v>32952</v>
      </c>
      <c r="G184" s="22" t="s">
        <v>267</v>
      </c>
      <c r="H184" s="22" t="s">
        <v>107</v>
      </c>
      <c r="I184" s="22"/>
      <c r="J184" s="22" t="s">
        <v>823</v>
      </c>
      <c r="K184" s="22"/>
    </row>
    <row r="185" spans="1:11" ht="18" customHeight="1" x14ac:dyDescent="0.35">
      <c r="A185" s="23" t="s">
        <v>824</v>
      </c>
      <c r="B185" s="24" t="s">
        <v>16</v>
      </c>
      <c r="C185" s="23" t="s">
        <v>218</v>
      </c>
      <c r="D185" s="23" t="s">
        <v>218</v>
      </c>
      <c r="E185" s="24" t="s">
        <v>219</v>
      </c>
      <c r="F185" s="24">
        <v>15314</v>
      </c>
      <c r="G185" s="24" t="s">
        <v>825</v>
      </c>
      <c r="H185" s="24" t="s">
        <v>107</v>
      </c>
      <c r="I185" s="24"/>
      <c r="J185" s="24"/>
      <c r="K185" s="24"/>
    </row>
    <row r="186" spans="1:11" ht="18" customHeight="1" x14ac:dyDescent="0.35">
      <c r="A186" s="21" t="s">
        <v>826</v>
      </c>
      <c r="B186" s="22" t="s">
        <v>16</v>
      </c>
      <c r="C186" s="21" t="s">
        <v>827</v>
      </c>
      <c r="D186" s="21" t="s">
        <v>828</v>
      </c>
      <c r="E186" s="22" t="s">
        <v>105</v>
      </c>
      <c r="F186" s="22">
        <v>45140</v>
      </c>
      <c r="G186" s="22" t="s">
        <v>308</v>
      </c>
      <c r="H186" s="22" t="s">
        <v>107</v>
      </c>
      <c r="I186" s="22"/>
      <c r="J186" s="22" t="s">
        <v>829</v>
      </c>
      <c r="K186" s="22"/>
    </row>
    <row r="187" spans="1:11" ht="18" customHeight="1" x14ac:dyDescent="0.35">
      <c r="A187" s="23" t="s">
        <v>830</v>
      </c>
      <c r="B187" s="24" t="s">
        <v>16</v>
      </c>
      <c r="C187" s="23" t="s">
        <v>831</v>
      </c>
      <c r="D187" s="23" t="s">
        <v>832</v>
      </c>
      <c r="E187" s="24" t="s">
        <v>158</v>
      </c>
      <c r="F187" s="24">
        <v>53524</v>
      </c>
      <c r="G187" s="24" t="s">
        <v>833</v>
      </c>
      <c r="H187" s="24" t="s">
        <v>107</v>
      </c>
      <c r="I187" s="24"/>
      <c r="J187" s="24"/>
      <c r="K187" s="24"/>
    </row>
    <row r="188" spans="1:11" ht="18" customHeight="1" x14ac:dyDescent="0.35">
      <c r="A188" s="21" t="s">
        <v>834</v>
      </c>
      <c r="B188" s="22" t="s">
        <v>16</v>
      </c>
      <c r="C188" s="21" t="s">
        <v>835</v>
      </c>
      <c r="D188" s="21" t="s">
        <v>836</v>
      </c>
      <c r="E188" s="22" t="s">
        <v>837</v>
      </c>
      <c r="F188" s="22">
        <v>85458</v>
      </c>
      <c r="G188" s="22" t="s">
        <v>608</v>
      </c>
      <c r="H188" s="22" t="s">
        <v>107</v>
      </c>
      <c r="I188" s="22"/>
      <c r="J188" s="22"/>
      <c r="K188" s="22"/>
    </row>
    <row r="189" spans="1:11" ht="18" customHeight="1" x14ac:dyDescent="0.35">
      <c r="A189" s="23" t="s">
        <v>838</v>
      </c>
      <c r="B189" s="24" t="s">
        <v>16</v>
      </c>
      <c r="C189" s="23" t="s">
        <v>839</v>
      </c>
      <c r="D189" s="23" t="s">
        <v>840</v>
      </c>
      <c r="E189" s="24" t="s">
        <v>136</v>
      </c>
      <c r="F189" s="24">
        <v>25513</v>
      </c>
      <c r="G189" s="24" t="s">
        <v>188</v>
      </c>
      <c r="H189" s="24" t="s">
        <v>107</v>
      </c>
      <c r="I189" s="24"/>
      <c r="J189" s="24" t="s">
        <v>841</v>
      </c>
      <c r="K189" s="24"/>
    </row>
    <row r="190" spans="1:11" ht="18" customHeight="1" x14ac:dyDescent="0.35">
      <c r="A190" s="21" t="s">
        <v>842</v>
      </c>
      <c r="B190" s="22" t="s">
        <v>16</v>
      </c>
      <c r="C190" s="21" t="s">
        <v>843</v>
      </c>
      <c r="D190" s="21" t="s">
        <v>844</v>
      </c>
      <c r="E190" s="22" t="s">
        <v>182</v>
      </c>
      <c r="F190" s="22">
        <v>107601</v>
      </c>
      <c r="G190" s="22" t="s">
        <v>687</v>
      </c>
      <c r="H190" s="22" t="s">
        <v>107</v>
      </c>
      <c r="I190" s="22"/>
      <c r="J190" s="22" t="s">
        <v>845</v>
      </c>
      <c r="K190" s="22"/>
    </row>
    <row r="191" spans="1:11" ht="18" customHeight="1" x14ac:dyDescent="0.35">
      <c r="A191" s="23" t="s">
        <v>846</v>
      </c>
      <c r="B191" s="24" t="s">
        <v>16</v>
      </c>
      <c r="C191" s="23" t="s">
        <v>847</v>
      </c>
      <c r="D191" s="23" t="s">
        <v>848</v>
      </c>
      <c r="E191" s="24" t="s">
        <v>756</v>
      </c>
      <c r="F191" s="24">
        <v>60000</v>
      </c>
      <c r="G191" s="24" t="s">
        <v>849</v>
      </c>
      <c r="H191" s="24" t="s">
        <v>107</v>
      </c>
      <c r="I191" s="24"/>
      <c r="J191" s="24" t="s">
        <v>850</v>
      </c>
      <c r="K191" s="24"/>
    </row>
    <row r="192" spans="1:11" ht="18" customHeight="1" x14ac:dyDescent="0.35">
      <c r="A192" s="21" t="s">
        <v>851</v>
      </c>
      <c r="B192" s="22" t="s">
        <v>16</v>
      </c>
      <c r="C192" s="21" t="s">
        <v>852</v>
      </c>
      <c r="D192" s="21" t="s">
        <v>853</v>
      </c>
      <c r="E192" s="22" t="s">
        <v>323</v>
      </c>
      <c r="F192" s="22">
        <v>34000</v>
      </c>
      <c r="G192" s="22" t="s">
        <v>551</v>
      </c>
      <c r="H192" s="22" t="s">
        <v>107</v>
      </c>
      <c r="I192" s="22"/>
      <c r="J192" s="22" t="s">
        <v>854</v>
      </c>
      <c r="K192" s="22"/>
    </row>
    <row r="193" spans="1:11" ht="18" customHeight="1" x14ac:dyDescent="0.35">
      <c r="A193" s="23" t="s">
        <v>68</v>
      </c>
      <c r="B193" s="24" t="s">
        <v>16</v>
      </c>
      <c r="C193" s="23" t="s">
        <v>855</v>
      </c>
      <c r="D193" s="23" t="s">
        <v>856</v>
      </c>
      <c r="E193" s="24" t="s">
        <v>142</v>
      </c>
      <c r="F193" s="24">
        <v>101915</v>
      </c>
      <c r="G193" s="24" t="s">
        <v>653</v>
      </c>
      <c r="H193" s="24" t="s">
        <v>107</v>
      </c>
      <c r="I193" s="24"/>
      <c r="J193" s="24" t="s">
        <v>857</v>
      </c>
      <c r="K193" s="24"/>
    </row>
    <row r="194" spans="1:11" ht="18" customHeight="1" x14ac:dyDescent="0.35">
      <c r="A194" s="21" t="s">
        <v>858</v>
      </c>
      <c r="B194" s="22" t="s">
        <v>16</v>
      </c>
      <c r="C194" s="21" t="s">
        <v>344</v>
      </c>
      <c r="D194" s="21" t="s">
        <v>344</v>
      </c>
      <c r="E194" s="22" t="s">
        <v>209</v>
      </c>
      <c r="F194" s="22">
        <v>38088</v>
      </c>
      <c r="G194" s="22" t="s">
        <v>859</v>
      </c>
      <c r="H194" s="22" t="s">
        <v>107</v>
      </c>
      <c r="I194" s="22"/>
      <c r="J194" s="22" t="s">
        <v>860</v>
      </c>
      <c r="K194" s="22"/>
    </row>
    <row r="195" spans="1:11" ht="18" customHeight="1" x14ac:dyDescent="0.35">
      <c r="A195" s="23" t="s">
        <v>85</v>
      </c>
      <c r="B195" s="24" t="s">
        <v>16</v>
      </c>
      <c r="C195" s="23" t="s">
        <v>861</v>
      </c>
      <c r="D195" s="23" t="s">
        <v>861</v>
      </c>
      <c r="E195" s="24" t="s">
        <v>158</v>
      </c>
      <c r="F195" s="24">
        <v>77622</v>
      </c>
      <c r="G195" s="24" t="s">
        <v>862</v>
      </c>
      <c r="H195" s="24" t="s">
        <v>107</v>
      </c>
      <c r="I195" s="24"/>
      <c r="J195" s="24" t="s">
        <v>863</v>
      </c>
      <c r="K195" s="24"/>
    </row>
    <row r="196" spans="1:11" ht="18" customHeight="1" x14ac:dyDescent="0.35">
      <c r="A196" s="21" t="s">
        <v>864</v>
      </c>
      <c r="B196" s="22" t="s">
        <v>16</v>
      </c>
      <c r="C196" s="21" t="s">
        <v>865</v>
      </c>
      <c r="D196" s="21" t="s">
        <v>482</v>
      </c>
      <c r="E196" s="22" t="s">
        <v>209</v>
      </c>
      <c r="F196" s="22">
        <v>102780</v>
      </c>
      <c r="G196" s="22" t="s">
        <v>695</v>
      </c>
      <c r="H196" s="22" t="s">
        <v>107</v>
      </c>
      <c r="I196" s="22"/>
      <c r="J196" s="22" t="s">
        <v>866</v>
      </c>
      <c r="K196" s="22"/>
    </row>
    <row r="197" spans="1:11" ht="18" customHeight="1" x14ac:dyDescent="0.35">
      <c r="A197" s="23" t="s">
        <v>867</v>
      </c>
      <c r="B197" s="24" t="s">
        <v>16</v>
      </c>
      <c r="C197" s="23" t="s">
        <v>868</v>
      </c>
      <c r="D197" s="23" t="s">
        <v>868</v>
      </c>
      <c r="E197" s="24" t="s">
        <v>598</v>
      </c>
      <c r="F197" s="24">
        <v>88043</v>
      </c>
      <c r="G197" s="24" t="s">
        <v>869</v>
      </c>
      <c r="H197" s="24" t="s">
        <v>107</v>
      </c>
      <c r="I197" s="24"/>
      <c r="J197" s="24"/>
      <c r="K197" s="24"/>
    </row>
    <row r="198" spans="1:11" ht="18" customHeight="1" x14ac:dyDescent="0.35">
      <c r="A198" s="21" t="s">
        <v>870</v>
      </c>
      <c r="B198" s="22" t="s">
        <v>16</v>
      </c>
      <c r="C198" s="21" t="s">
        <v>871</v>
      </c>
      <c r="D198" s="21" t="s">
        <v>872</v>
      </c>
      <c r="E198" s="22" t="s">
        <v>209</v>
      </c>
      <c r="F198" s="22">
        <v>24000</v>
      </c>
      <c r="G198" s="22" t="s">
        <v>532</v>
      </c>
      <c r="H198" s="22" t="s">
        <v>107</v>
      </c>
      <c r="I198" s="22"/>
      <c r="J198" s="22"/>
      <c r="K198" s="22"/>
    </row>
    <row r="199" spans="1:11" ht="18" customHeight="1" x14ac:dyDescent="0.35">
      <c r="A199" s="23" t="s">
        <v>873</v>
      </c>
      <c r="B199" s="24" t="s">
        <v>16</v>
      </c>
      <c r="C199" s="23" t="s">
        <v>874</v>
      </c>
      <c r="D199" s="23" t="s">
        <v>875</v>
      </c>
      <c r="E199" s="24" t="s">
        <v>172</v>
      </c>
      <c r="F199" s="24">
        <v>20000</v>
      </c>
      <c r="G199" s="24" t="s">
        <v>193</v>
      </c>
      <c r="H199" s="24" t="s">
        <v>107</v>
      </c>
      <c r="I199" s="24"/>
      <c r="J199" s="24" t="s">
        <v>876</v>
      </c>
      <c r="K199" s="24"/>
    </row>
    <row r="200" spans="1:11" ht="18" customHeight="1" x14ac:dyDescent="0.35">
      <c r="A200" s="21" t="s">
        <v>877</v>
      </c>
      <c r="B200" s="22" t="s">
        <v>16</v>
      </c>
      <c r="C200" s="21" t="s">
        <v>878</v>
      </c>
      <c r="D200" s="21" t="s">
        <v>879</v>
      </c>
      <c r="E200" s="22" t="s">
        <v>880</v>
      </c>
      <c r="F200" s="22">
        <v>38000</v>
      </c>
      <c r="G200" s="22" t="s">
        <v>240</v>
      </c>
      <c r="H200" s="22" t="s">
        <v>107</v>
      </c>
      <c r="I200" s="22"/>
      <c r="J200" s="22" t="s">
        <v>881</v>
      </c>
      <c r="K200" s="22"/>
    </row>
    <row r="201" spans="1:11" ht="18" customHeight="1" x14ac:dyDescent="0.35">
      <c r="A201" s="23" t="s">
        <v>882</v>
      </c>
      <c r="B201" s="24" t="s">
        <v>16</v>
      </c>
      <c r="C201" s="23" t="s">
        <v>883</v>
      </c>
      <c r="D201" s="23" t="s">
        <v>884</v>
      </c>
      <c r="E201" s="24" t="s">
        <v>598</v>
      </c>
      <c r="F201" s="24">
        <v>47100</v>
      </c>
      <c r="G201" s="24" t="s">
        <v>460</v>
      </c>
      <c r="H201" s="24" t="s">
        <v>107</v>
      </c>
      <c r="I201" s="24"/>
      <c r="J201" s="24" t="s">
        <v>885</v>
      </c>
      <c r="K201" s="24"/>
    </row>
    <row r="202" spans="1:11" ht="18" customHeight="1" x14ac:dyDescent="0.35">
      <c r="A202" s="21" t="s">
        <v>886</v>
      </c>
      <c r="B202" s="22" t="s">
        <v>16</v>
      </c>
      <c r="C202" s="21" t="s">
        <v>887</v>
      </c>
      <c r="D202" s="21" t="s">
        <v>888</v>
      </c>
      <c r="E202" s="22" t="s">
        <v>192</v>
      </c>
      <c r="F202" s="22">
        <v>35548</v>
      </c>
      <c r="G202" s="22" t="s">
        <v>889</v>
      </c>
      <c r="H202" s="22" t="s">
        <v>107</v>
      </c>
      <c r="I202" s="22"/>
      <c r="J202" s="22" t="s">
        <v>890</v>
      </c>
      <c r="K202" s="22"/>
    </row>
    <row r="203" spans="1:11" ht="18" customHeight="1" x14ac:dyDescent="0.35">
      <c r="A203" s="23" t="s">
        <v>891</v>
      </c>
      <c r="B203" s="24" t="s">
        <v>16</v>
      </c>
      <c r="C203" s="23" t="s">
        <v>892</v>
      </c>
      <c r="D203" s="23" t="s">
        <v>239</v>
      </c>
      <c r="E203" s="24" t="s">
        <v>105</v>
      </c>
      <c r="F203" s="24">
        <v>47000</v>
      </c>
      <c r="G203" s="24" t="s">
        <v>567</v>
      </c>
      <c r="H203" s="24" t="s">
        <v>107</v>
      </c>
      <c r="I203" s="24"/>
      <c r="J203" s="24"/>
      <c r="K203" s="24"/>
    </row>
    <row r="204" spans="1:11" ht="18" customHeight="1" x14ac:dyDescent="0.35">
      <c r="A204" s="21" t="s">
        <v>893</v>
      </c>
      <c r="B204" s="22" t="s">
        <v>16</v>
      </c>
      <c r="C204" s="21" t="s">
        <v>894</v>
      </c>
      <c r="D204" s="21" t="s">
        <v>135</v>
      </c>
      <c r="E204" s="22" t="s">
        <v>136</v>
      </c>
      <c r="F204" s="22">
        <v>51444</v>
      </c>
      <c r="G204" s="22" t="s">
        <v>324</v>
      </c>
      <c r="H204" s="22" t="s">
        <v>107</v>
      </c>
      <c r="I204" s="22"/>
      <c r="J204" s="22" t="s">
        <v>895</v>
      </c>
      <c r="K204" s="22"/>
    </row>
    <row r="205" spans="1:11" ht="18" customHeight="1" x14ac:dyDescent="0.35">
      <c r="A205" s="23" t="s">
        <v>896</v>
      </c>
      <c r="B205" s="24" t="s">
        <v>16</v>
      </c>
      <c r="C205" s="23" t="s">
        <v>897</v>
      </c>
      <c r="D205" s="23" t="s">
        <v>898</v>
      </c>
      <c r="E205" s="24" t="s">
        <v>266</v>
      </c>
      <c r="F205" s="24">
        <v>17500</v>
      </c>
      <c r="G205" s="24" t="s">
        <v>899</v>
      </c>
      <c r="H205" s="24" t="s">
        <v>107</v>
      </c>
      <c r="I205" s="24"/>
      <c r="J205" s="24" t="s">
        <v>900</v>
      </c>
      <c r="K205" s="24"/>
    </row>
    <row r="206" spans="1:11" ht="18" customHeight="1" x14ac:dyDescent="0.35">
      <c r="A206" s="21" t="s">
        <v>901</v>
      </c>
      <c r="B206" s="22" t="s">
        <v>16</v>
      </c>
      <c r="C206" s="21" t="s">
        <v>902</v>
      </c>
      <c r="D206" s="21" t="s">
        <v>903</v>
      </c>
      <c r="E206" s="22" t="s">
        <v>128</v>
      </c>
      <c r="F206" s="22">
        <v>89702</v>
      </c>
      <c r="G206" s="22" t="s">
        <v>653</v>
      </c>
      <c r="H206" s="22" t="s">
        <v>107</v>
      </c>
      <c r="I206" s="22"/>
      <c r="J206" s="22" t="s">
        <v>904</v>
      </c>
      <c r="K206" s="22"/>
    </row>
    <row r="207" spans="1:11" ht="18" customHeight="1" x14ac:dyDescent="0.35">
      <c r="A207" s="23" t="s">
        <v>905</v>
      </c>
      <c r="B207" s="24" t="s">
        <v>16</v>
      </c>
      <c r="C207" s="23" t="s">
        <v>906</v>
      </c>
      <c r="D207" s="23" t="s">
        <v>907</v>
      </c>
      <c r="E207" s="24" t="s">
        <v>158</v>
      </c>
      <c r="F207" s="24">
        <v>61441</v>
      </c>
      <c r="G207" s="24" t="s">
        <v>355</v>
      </c>
      <c r="H207" s="24" t="s">
        <v>107</v>
      </c>
      <c r="I207" s="24"/>
      <c r="J207" s="24" t="s">
        <v>908</v>
      </c>
      <c r="K207" s="24"/>
    </row>
    <row r="208" spans="1:11" ht="18" customHeight="1" x14ac:dyDescent="0.35">
      <c r="A208" s="21" t="s">
        <v>909</v>
      </c>
      <c r="B208" s="22" t="s">
        <v>16</v>
      </c>
      <c r="C208" s="21" t="s">
        <v>910</v>
      </c>
      <c r="D208" s="21" t="s">
        <v>911</v>
      </c>
      <c r="E208" s="22" t="s">
        <v>245</v>
      </c>
      <c r="F208" s="22">
        <v>35000</v>
      </c>
      <c r="G208" s="22" t="s">
        <v>297</v>
      </c>
      <c r="H208" s="22" t="s">
        <v>107</v>
      </c>
      <c r="I208" s="22"/>
      <c r="J208" s="22"/>
      <c r="K208" s="22"/>
    </row>
    <row r="209" spans="1:11" ht="18" customHeight="1" x14ac:dyDescent="0.35">
      <c r="A209" s="23" t="s">
        <v>912</v>
      </c>
      <c r="B209" s="24" t="s">
        <v>16</v>
      </c>
      <c r="C209" s="23" t="s">
        <v>913</v>
      </c>
      <c r="D209" s="23" t="s">
        <v>914</v>
      </c>
      <c r="E209" s="24" t="s">
        <v>182</v>
      </c>
      <c r="F209" s="24">
        <v>26188</v>
      </c>
      <c r="G209" s="24" t="s">
        <v>666</v>
      </c>
      <c r="H209" s="24" t="s">
        <v>107</v>
      </c>
      <c r="I209" s="24"/>
      <c r="J209" s="24" t="s">
        <v>915</v>
      </c>
      <c r="K209" s="24"/>
    </row>
    <row r="210" spans="1:11" ht="18" customHeight="1" x14ac:dyDescent="0.35">
      <c r="A210" s="21" t="s">
        <v>916</v>
      </c>
      <c r="B210" s="22" t="s">
        <v>16</v>
      </c>
      <c r="C210" s="21" t="s">
        <v>917</v>
      </c>
      <c r="D210" s="21" t="s">
        <v>918</v>
      </c>
      <c r="E210" s="22" t="s">
        <v>598</v>
      </c>
      <c r="F210" s="22">
        <v>100077</v>
      </c>
      <c r="G210" s="22" t="s">
        <v>532</v>
      </c>
      <c r="H210" s="22" t="s">
        <v>107</v>
      </c>
      <c r="I210" s="22"/>
      <c r="J210" s="22"/>
      <c r="K210" s="22"/>
    </row>
    <row r="211" spans="1:11" ht="18" customHeight="1" x14ac:dyDescent="0.35">
      <c r="A211" s="23" t="s">
        <v>58</v>
      </c>
      <c r="B211" s="24" t="s">
        <v>16</v>
      </c>
      <c r="C211" s="23" t="s">
        <v>919</v>
      </c>
      <c r="D211" s="23" t="s">
        <v>872</v>
      </c>
      <c r="E211" s="24" t="s">
        <v>225</v>
      </c>
      <c r="F211" s="24">
        <v>93033</v>
      </c>
      <c r="G211" s="24" t="s">
        <v>532</v>
      </c>
      <c r="H211" s="24" t="s">
        <v>107</v>
      </c>
      <c r="I211" s="24"/>
      <c r="J211" s="24"/>
      <c r="K211" s="24"/>
    </row>
    <row r="212" spans="1:11" ht="18" customHeight="1" x14ac:dyDescent="0.35">
      <c r="A212" s="21" t="s">
        <v>920</v>
      </c>
      <c r="B212" s="22" t="s">
        <v>16</v>
      </c>
      <c r="C212" s="21" t="s">
        <v>921</v>
      </c>
      <c r="D212" s="21" t="s">
        <v>922</v>
      </c>
      <c r="E212" s="22" t="s">
        <v>158</v>
      </c>
      <c r="F212" s="22">
        <v>22500</v>
      </c>
      <c r="G212" s="22" t="s">
        <v>542</v>
      </c>
      <c r="H212" s="22" t="s">
        <v>107</v>
      </c>
      <c r="I212" s="22"/>
      <c r="J212" s="22"/>
      <c r="K212" s="22"/>
    </row>
    <row r="213" spans="1:11" ht="18" customHeight="1" x14ac:dyDescent="0.35">
      <c r="A213" s="23" t="s">
        <v>923</v>
      </c>
      <c r="B213" s="24" t="s">
        <v>16</v>
      </c>
      <c r="C213" s="23" t="s">
        <v>924</v>
      </c>
      <c r="D213" s="23" t="s">
        <v>925</v>
      </c>
      <c r="E213" s="24" t="s">
        <v>323</v>
      </c>
      <c r="F213" s="24">
        <v>46185</v>
      </c>
      <c r="G213" s="24" t="s">
        <v>567</v>
      </c>
      <c r="H213" s="24" t="s">
        <v>107</v>
      </c>
      <c r="I213" s="24"/>
      <c r="J213" s="24" t="s">
        <v>926</v>
      </c>
      <c r="K213" s="24"/>
    </row>
    <row r="214" spans="1:11" ht="18" customHeight="1" x14ac:dyDescent="0.35">
      <c r="A214" s="21" t="s">
        <v>927</v>
      </c>
      <c r="B214" s="22" t="s">
        <v>16</v>
      </c>
      <c r="C214" s="21" t="s">
        <v>928</v>
      </c>
      <c r="D214" s="21" t="s">
        <v>929</v>
      </c>
      <c r="E214" s="22" t="s">
        <v>331</v>
      </c>
      <c r="F214" s="22">
        <v>52454</v>
      </c>
      <c r="G214" s="22" t="s">
        <v>210</v>
      </c>
      <c r="H214" s="22" t="s">
        <v>107</v>
      </c>
      <c r="I214" s="22"/>
      <c r="J214" s="22" t="s">
        <v>930</v>
      </c>
      <c r="K214" s="22"/>
    </row>
    <row r="215" spans="1:11" ht="18" customHeight="1" x14ac:dyDescent="0.35">
      <c r="A215" s="23" t="s">
        <v>931</v>
      </c>
      <c r="B215" s="24" t="s">
        <v>16</v>
      </c>
      <c r="C215" s="23" t="s">
        <v>141</v>
      </c>
      <c r="D215" s="23" t="s">
        <v>141</v>
      </c>
      <c r="E215" s="24" t="s">
        <v>142</v>
      </c>
      <c r="F215" s="24">
        <v>50000</v>
      </c>
      <c r="G215" s="24" t="s">
        <v>585</v>
      </c>
      <c r="H215" s="24" t="s">
        <v>107</v>
      </c>
      <c r="I215" s="24"/>
      <c r="J215" s="24" t="s">
        <v>932</v>
      </c>
      <c r="K215" s="24"/>
    </row>
    <row r="216" spans="1:11" ht="18" customHeight="1" x14ac:dyDescent="0.35">
      <c r="A216" s="21" t="s">
        <v>933</v>
      </c>
      <c r="B216" s="22" t="s">
        <v>16</v>
      </c>
      <c r="C216" s="21" t="s">
        <v>934</v>
      </c>
      <c r="D216" s="21" t="s">
        <v>934</v>
      </c>
      <c r="E216" s="22" t="s">
        <v>204</v>
      </c>
      <c r="F216" s="22">
        <v>30000</v>
      </c>
      <c r="G216" s="22" t="s">
        <v>862</v>
      </c>
      <c r="H216" s="22" t="s">
        <v>107</v>
      </c>
      <c r="I216" s="22"/>
      <c r="J216" s="22" t="s">
        <v>935</v>
      </c>
      <c r="K216" s="22"/>
    </row>
    <row r="217" spans="1:11" ht="18" customHeight="1" x14ac:dyDescent="0.35">
      <c r="A217" s="23" t="s">
        <v>936</v>
      </c>
      <c r="B217" s="24" t="s">
        <v>16</v>
      </c>
      <c r="C217" s="23" t="s">
        <v>937</v>
      </c>
      <c r="D217" s="23" t="s">
        <v>415</v>
      </c>
      <c r="E217" s="24" t="s">
        <v>128</v>
      </c>
      <c r="F217" s="24">
        <v>35000</v>
      </c>
      <c r="G217" s="24" t="s">
        <v>938</v>
      </c>
      <c r="H217" s="24" t="s">
        <v>107</v>
      </c>
      <c r="I217" s="24"/>
      <c r="J217" s="24" t="s">
        <v>939</v>
      </c>
      <c r="K217" s="24"/>
    </row>
    <row r="218" spans="1:11" ht="18" customHeight="1" x14ac:dyDescent="0.35">
      <c r="A218" s="21" t="s">
        <v>940</v>
      </c>
      <c r="B218" s="22" t="s">
        <v>16</v>
      </c>
      <c r="C218" s="21" t="s">
        <v>941</v>
      </c>
      <c r="D218" s="21" t="s">
        <v>942</v>
      </c>
      <c r="E218" s="22" t="s">
        <v>112</v>
      </c>
      <c r="F218" s="22">
        <v>41000</v>
      </c>
      <c r="G218" s="22" t="s">
        <v>183</v>
      </c>
      <c r="H218" s="22" t="s">
        <v>107</v>
      </c>
      <c r="I218" s="22"/>
      <c r="J218" s="22"/>
      <c r="K218" s="22"/>
    </row>
    <row r="219" spans="1:11" ht="18" customHeight="1" x14ac:dyDescent="0.35">
      <c r="A219" s="23" t="s">
        <v>943</v>
      </c>
      <c r="B219" s="24" t="s">
        <v>16</v>
      </c>
      <c r="C219" s="23" t="s">
        <v>944</v>
      </c>
      <c r="D219" s="23" t="s">
        <v>945</v>
      </c>
      <c r="E219" s="24" t="s">
        <v>182</v>
      </c>
      <c r="F219" s="24">
        <v>74866</v>
      </c>
      <c r="G219" s="24" t="s">
        <v>608</v>
      </c>
      <c r="H219" s="24" t="s">
        <v>107</v>
      </c>
      <c r="I219" s="24"/>
      <c r="J219" s="24"/>
      <c r="K219" s="24"/>
    </row>
    <row r="220" spans="1:11" ht="18" customHeight="1" x14ac:dyDescent="0.35">
      <c r="A220" s="21" t="s">
        <v>946</v>
      </c>
      <c r="B220" s="22" t="s">
        <v>16</v>
      </c>
      <c r="C220" s="21" t="s">
        <v>947</v>
      </c>
      <c r="D220" s="21" t="s">
        <v>947</v>
      </c>
      <c r="E220" s="22" t="s">
        <v>128</v>
      </c>
      <c r="F220" s="22">
        <v>50424</v>
      </c>
      <c r="G220" s="22" t="s">
        <v>653</v>
      </c>
      <c r="H220" s="22" t="s">
        <v>107</v>
      </c>
      <c r="I220" s="22"/>
      <c r="J220" s="22" t="s">
        <v>948</v>
      </c>
      <c r="K220" s="22"/>
    </row>
    <row r="221" spans="1:11" ht="18" customHeight="1" x14ac:dyDescent="0.35">
      <c r="A221" s="23" t="s">
        <v>949</v>
      </c>
      <c r="B221" s="24" t="s">
        <v>16</v>
      </c>
      <c r="C221" s="23" t="s">
        <v>950</v>
      </c>
      <c r="D221" s="23" t="s">
        <v>951</v>
      </c>
      <c r="E221" s="24" t="s">
        <v>172</v>
      </c>
      <c r="F221" s="24">
        <v>88548</v>
      </c>
      <c r="G221" s="24" t="s">
        <v>862</v>
      </c>
      <c r="H221" s="24" t="s">
        <v>107</v>
      </c>
      <c r="I221" s="24"/>
      <c r="J221" s="24" t="s">
        <v>952</v>
      </c>
      <c r="K221" s="24"/>
    </row>
    <row r="222" spans="1:11" ht="18" customHeight="1" x14ac:dyDescent="0.35">
      <c r="A222" s="21" t="s">
        <v>953</v>
      </c>
      <c r="B222" s="22" t="s">
        <v>16</v>
      </c>
      <c r="C222" s="21" t="s">
        <v>954</v>
      </c>
      <c r="D222" s="21" t="s">
        <v>955</v>
      </c>
      <c r="E222" s="22" t="s">
        <v>105</v>
      </c>
      <c r="F222" s="22">
        <v>51500</v>
      </c>
      <c r="G222" s="22" t="s">
        <v>547</v>
      </c>
      <c r="H222" s="22" t="s">
        <v>107</v>
      </c>
      <c r="I222" s="22"/>
      <c r="J222" s="22" t="s">
        <v>956</v>
      </c>
      <c r="K222" s="22"/>
    </row>
    <row r="223" spans="1:11" ht="18" customHeight="1" x14ac:dyDescent="0.35">
      <c r="A223" s="23" t="s">
        <v>65</v>
      </c>
      <c r="B223" s="24" t="s">
        <v>16</v>
      </c>
      <c r="C223" s="23" t="s">
        <v>957</v>
      </c>
      <c r="D223" s="23" t="s">
        <v>958</v>
      </c>
      <c r="E223" s="24" t="s">
        <v>215</v>
      </c>
      <c r="F223" s="24">
        <v>102321</v>
      </c>
      <c r="G223" s="24" t="s">
        <v>355</v>
      </c>
      <c r="H223" s="24" t="s">
        <v>107</v>
      </c>
      <c r="I223" s="24"/>
      <c r="J223" s="24"/>
      <c r="K223" s="24"/>
    </row>
    <row r="224" spans="1:11" ht="18" customHeight="1" x14ac:dyDescent="0.35">
      <c r="A224" s="21" t="s">
        <v>959</v>
      </c>
      <c r="B224" s="22" t="s">
        <v>16</v>
      </c>
      <c r="C224" s="21" t="s">
        <v>475</v>
      </c>
      <c r="D224" s="21" t="s">
        <v>960</v>
      </c>
      <c r="E224" s="22" t="s">
        <v>117</v>
      </c>
      <c r="F224" s="22">
        <v>25013</v>
      </c>
      <c r="G224" s="22" t="s">
        <v>471</v>
      </c>
      <c r="H224" s="22" t="s">
        <v>107</v>
      </c>
      <c r="I224" s="22"/>
      <c r="J224" s="22" t="s">
        <v>961</v>
      </c>
      <c r="K224" s="22"/>
    </row>
    <row r="225" spans="1:11" ht="18" customHeight="1" x14ac:dyDescent="0.35">
      <c r="A225" s="23" t="s">
        <v>962</v>
      </c>
      <c r="B225" s="24" t="s">
        <v>16</v>
      </c>
      <c r="C225" s="23" t="s">
        <v>963</v>
      </c>
      <c r="D225" s="23" t="s">
        <v>964</v>
      </c>
      <c r="E225" s="24" t="s">
        <v>505</v>
      </c>
      <c r="F225" s="24">
        <v>39224</v>
      </c>
      <c r="G225" s="24" t="s">
        <v>833</v>
      </c>
      <c r="H225" s="24" t="s">
        <v>107</v>
      </c>
      <c r="I225" s="24"/>
      <c r="J225" s="24"/>
      <c r="K225" s="24"/>
    </row>
    <row r="226" spans="1:11" ht="18" customHeight="1" x14ac:dyDescent="0.35">
      <c r="A226" s="21" t="s">
        <v>965</v>
      </c>
      <c r="B226" s="22" t="s">
        <v>16</v>
      </c>
      <c r="C226" s="21" t="s">
        <v>966</v>
      </c>
      <c r="D226" s="21" t="s">
        <v>967</v>
      </c>
      <c r="E226" s="22" t="s">
        <v>128</v>
      </c>
      <c r="F226" s="22">
        <v>40727</v>
      </c>
      <c r="G226" s="22" t="s">
        <v>849</v>
      </c>
      <c r="H226" s="22" t="s">
        <v>107</v>
      </c>
      <c r="I226" s="22"/>
      <c r="J226" s="22" t="s">
        <v>968</v>
      </c>
      <c r="K226" s="22"/>
    </row>
    <row r="227" spans="1:11" ht="18" customHeight="1" x14ac:dyDescent="0.35">
      <c r="A227" s="23" t="s">
        <v>969</v>
      </c>
      <c r="B227" s="24" t="s">
        <v>16</v>
      </c>
      <c r="C227" s="23" t="s">
        <v>970</v>
      </c>
      <c r="D227" s="23" t="s">
        <v>971</v>
      </c>
      <c r="E227" s="24" t="s">
        <v>622</v>
      </c>
      <c r="F227" s="24">
        <v>64038</v>
      </c>
      <c r="G227" s="24" t="s">
        <v>859</v>
      </c>
      <c r="H227" s="24" t="s">
        <v>107</v>
      </c>
      <c r="I227" s="24"/>
      <c r="J227" s="24"/>
      <c r="K227" s="24"/>
    </row>
    <row r="228" spans="1:11" ht="18" customHeight="1" x14ac:dyDescent="0.35">
      <c r="A228" s="21" t="s">
        <v>972</v>
      </c>
      <c r="B228" s="22" t="s">
        <v>16</v>
      </c>
      <c r="C228" s="21" t="s">
        <v>973</v>
      </c>
      <c r="D228" s="21" t="s">
        <v>973</v>
      </c>
      <c r="E228" s="22" t="s">
        <v>598</v>
      </c>
      <c r="F228" s="22">
        <v>30470</v>
      </c>
      <c r="G228" s="22" t="s">
        <v>567</v>
      </c>
      <c r="H228" s="22" t="s">
        <v>107</v>
      </c>
      <c r="I228" s="22"/>
      <c r="J228" s="22"/>
      <c r="K228" s="22"/>
    </row>
    <row r="229" spans="1:11" ht="18" customHeight="1" x14ac:dyDescent="0.35">
      <c r="A229" s="23" t="s">
        <v>974</v>
      </c>
      <c r="B229" s="24" t="s">
        <v>16</v>
      </c>
      <c r="C229" s="23" t="s">
        <v>975</v>
      </c>
      <c r="D229" s="23" t="s">
        <v>976</v>
      </c>
      <c r="E229" s="24" t="s">
        <v>182</v>
      </c>
      <c r="F229" s="24">
        <v>36361</v>
      </c>
      <c r="G229" s="24" t="s">
        <v>869</v>
      </c>
      <c r="H229" s="24" t="s">
        <v>107</v>
      </c>
      <c r="I229" s="24"/>
      <c r="J229" s="24" t="s">
        <v>977</v>
      </c>
      <c r="K229" s="24"/>
    </row>
    <row r="230" spans="1:11" ht="18" customHeight="1" x14ac:dyDescent="0.35">
      <c r="A230" s="21" t="s">
        <v>978</v>
      </c>
      <c r="B230" s="22" t="s">
        <v>16</v>
      </c>
      <c r="C230" s="21" t="s">
        <v>979</v>
      </c>
      <c r="D230" s="21" t="s">
        <v>980</v>
      </c>
      <c r="E230" s="22" t="s">
        <v>235</v>
      </c>
      <c r="F230" s="22">
        <v>17000</v>
      </c>
      <c r="G230" s="22" t="s">
        <v>585</v>
      </c>
      <c r="H230" s="22" t="s">
        <v>107</v>
      </c>
      <c r="I230" s="22"/>
      <c r="J230" s="22" t="s">
        <v>981</v>
      </c>
      <c r="K230" s="22"/>
    </row>
    <row r="231" spans="1:11" ht="18" customHeight="1" x14ac:dyDescent="0.35">
      <c r="A231" s="23" t="s">
        <v>982</v>
      </c>
      <c r="B231" s="24" t="s">
        <v>16</v>
      </c>
      <c r="C231" s="23" t="s">
        <v>983</v>
      </c>
      <c r="D231" s="23" t="s">
        <v>478</v>
      </c>
      <c r="E231" s="24" t="s">
        <v>219</v>
      </c>
      <c r="F231" s="24">
        <v>56919</v>
      </c>
      <c r="G231" s="24" t="s">
        <v>367</v>
      </c>
      <c r="H231" s="24" t="s">
        <v>107</v>
      </c>
      <c r="I231" s="24"/>
      <c r="J231" s="24"/>
      <c r="K231" s="24"/>
    </row>
    <row r="232" spans="1:11" ht="18" customHeight="1" x14ac:dyDescent="0.35">
      <c r="A232" s="21" t="s">
        <v>70</v>
      </c>
      <c r="B232" s="22" t="s">
        <v>16</v>
      </c>
      <c r="C232" s="21" t="s">
        <v>984</v>
      </c>
      <c r="D232" s="21" t="s">
        <v>686</v>
      </c>
      <c r="E232" s="22" t="s">
        <v>594</v>
      </c>
      <c r="F232" s="22">
        <v>77559</v>
      </c>
      <c r="G232" s="22" t="s">
        <v>985</v>
      </c>
      <c r="H232" s="22" t="s">
        <v>107</v>
      </c>
      <c r="I232" s="22"/>
      <c r="J232" s="22"/>
      <c r="K232" s="22"/>
    </row>
    <row r="233" spans="1:11" ht="18" customHeight="1" x14ac:dyDescent="0.35">
      <c r="A233" s="23" t="s">
        <v>986</v>
      </c>
      <c r="B233" s="24" t="s">
        <v>30</v>
      </c>
      <c r="C233" s="23" t="s">
        <v>202</v>
      </c>
      <c r="D233" s="23" t="s">
        <v>203</v>
      </c>
      <c r="E233" s="24" t="s">
        <v>204</v>
      </c>
      <c r="F233" s="24"/>
      <c r="G233" s="24" t="s">
        <v>987</v>
      </c>
      <c r="H233" s="24" t="s">
        <v>988</v>
      </c>
      <c r="I233" s="24"/>
      <c r="J233" s="24" t="s">
        <v>231</v>
      </c>
      <c r="K233" s="24"/>
    </row>
    <row r="234" spans="1:11" ht="18" customHeight="1" x14ac:dyDescent="0.35">
      <c r="A234" s="21" t="s">
        <v>989</v>
      </c>
      <c r="B234" s="22" t="s">
        <v>30</v>
      </c>
      <c r="C234" s="21" t="s">
        <v>248</v>
      </c>
      <c r="D234" s="21" t="s">
        <v>249</v>
      </c>
      <c r="E234" s="22" t="s">
        <v>250</v>
      </c>
      <c r="F234" s="22"/>
      <c r="G234" s="22" t="s">
        <v>990</v>
      </c>
      <c r="H234" s="25" t="s">
        <v>991</v>
      </c>
      <c r="I234" s="22"/>
      <c r="J234" s="22" t="s">
        <v>252</v>
      </c>
      <c r="K234" s="22"/>
    </row>
    <row r="235" spans="1:11" ht="18" customHeight="1" x14ac:dyDescent="0.35">
      <c r="A235" s="23" t="s">
        <v>76</v>
      </c>
      <c r="B235" s="24" t="s">
        <v>30</v>
      </c>
      <c r="C235" s="23" t="s">
        <v>103</v>
      </c>
      <c r="D235" s="23" t="s">
        <v>104</v>
      </c>
      <c r="E235" s="24" t="s">
        <v>105</v>
      </c>
      <c r="F235" s="24"/>
      <c r="G235" s="24" t="s">
        <v>992</v>
      </c>
      <c r="H235" s="25" t="s">
        <v>991</v>
      </c>
      <c r="I235" s="24"/>
      <c r="J235" s="24"/>
      <c r="K235" s="24"/>
    </row>
    <row r="236" spans="1:11" ht="18" customHeight="1" x14ac:dyDescent="0.35">
      <c r="A236" s="21" t="s">
        <v>62</v>
      </c>
      <c r="B236" s="22" t="s">
        <v>30</v>
      </c>
      <c r="C236" s="21" t="s">
        <v>151</v>
      </c>
      <c r="D236" s="21" t="s">
        <v>152</v>
      </c>
      <c r="E236" s="22" t="s">
        <v>105</v>
      </c>
      <c r="F236" s="22"/>
      <c r="G236" s="22" t="s">
        <v>993</v>
      </c>
      <c r="H236" s="25" t="s">
        <v>991</v>
      </c>
      <c r="I236" s="22"/>
      <c r="J236" s="22"/>
      <c r="K236" s="22"/>
    </row>
    <row r="237" spans="1:11" ht="18" customHeight="1" x14ac:dyDescent="0.35">
      <c r="A237" s="23" t="s">
        <v>994</v>
      </c>
      <c r="B237" s="24" t="s">
        <v>22</v>
      </c>
      <c r="C237" s="23" t="s">
        <v>334</v>
      </c>
      <c r="D237" s="23" t="s">
        <v>335</v>
      </c>
      <c r="E237" s="24" t="s">
        <v>142</v>
      </c>
      <c r="F237" s="24">
        <v>60000</v>
      </c>
      <c r="G237" s="24" t="s">
        <v>995</v>
      </c>
      <c r="H237" s="24" t="s">
        <v>988</v>
      </c>
      <c r="I237" s="24"/>
      <c r="J237" s="24" t="s">
        <v>334</v>
      </c>
      <c r="K237" s="24"/>
    </row>
    <row r="238" spans="1:11" ht="18" customHeight="1" x14ac:dyDescent="0.35">
      <c r="A238" s="21" t="s">
        <v>996</v>
      </c>
      <c r="B238" s="22" t="s">
        <v>22</v>
      </c>
      <c r="C238" s="21" t="s">
        <v>300</v>
      </c>
      <c r="D238" s="21" t="s">
        <v>997</v>
      </c>
      <c r="E238" s="22" t="s">
        <v>209</v>
      </c>
      <c r="F238" s="22">
        <v>67500</v>
      </c>
      <c r="G238" s="22" t="s">
        <v>998</v>
      </c>
      <c r="H238" s="22" t="s">
        <v>988</v>
      </c>
      <c r="I238" s="22"/>
      <c r="J238" s="22"/>
      <c r="K238" s="22"/>
    </row>
    <row r="239" spans="1:11" ht="18" customHeight="1" x14ac:dyDescent="0.35">
      <c r="A239" s="23" t="s">
        <v>999</v>
      </c>
      <c r="B239" s="24" t="s">
        <v>22</v>
      </c>
      <c r="C239" s="23" t="s">
        <v>337</v>
      </c>
      <c r="D239" s="23" t="s">
        <v>122</v>
      </c>
      <c r="E239" s="24" t="s">
        <v>123</v>
      </c>
      <c r="F239" s="24">
        <v>65000</v>
      </c>
      <c r="G239" s="24" t="s">
        <v>990</v>
      </c>
      <c r="H239" s="24" t="s">
        <v>988</v>
      </c>
      <c r="I239" s="24"/>
      <c r="J239" s="24" t="s">
        <v>337</v>
      </c>
      <c r="K239" s="24"/>
    </row>
    <row r="240" spans="1:11" ht="18" customHeight="1" x14ac:dyDescent="0.35">
      <c r="A240" s="21" t="s">
        <v>63</v>
      </c>
      <c r="B240" s="22" t="s">
        <v>22</v>
      </c>
      <c r="C240" s="21" t="s">
        <v>354</v>
      </c>
      <c r="D240" s="21" t="s">
        <v>1000</v>
      </c>
      <c r="E240" s="22" t="s">
        <v>158</v>
      </c>
      <c r="F240" s="22">
        <v>60000</v>
      </c>
      <c r="G240" s="22" t="s">
        <v>992</v>
      </c>
      <c r="H240" s="25" t="s">
        <v>991</v>
      </c>
      <c r="I240" s="22"/>
      <c r="J240" s="22" t="s">
        <v>354</v>
      </c>
      <c r="K240" s="22"/>
    </row>
    <row r="241" spans="1:11" ht="18" customHeight="1" x14ac:dyDescent="0.35">
      <c r="A241" s="23" t="s">
        <v>1001</v>
      </c>
      <c r="B241" s="24" t="s">
        <v>22</v>
      </c>
      <c r="C241" s="23" t="s">
        <v>280</v>
      </c>
      <c r="D241" s="23" t="s">
        <v>111</v>
      </c>
      <c r="E241" s="24" t="s">
        <v>112</v>
      </c>
      <c r="F241" s="24"/>
      <c r="G241" s="24" t="s">
        <v>992</v>
      </c>
      <c r="H241" s="25" t="s">
        <v>991</v>
      </c>
      <c r="I241" s="24"/>
      <c r="J241" s="24"/>
      <c r="K241" s="24"/>
    </row>
    <row r="242" spans="1:11" ht="18" customHeight="1" x14ac:dyDescent="0.35">
      <c r="A242" s="21" t="s">
        <v>80</v>
      </c>
      <c r="B242" s="22" t="s">
        <v>22</v>
      </c>
      <c r="C242" s="21" t="s">
        <v>264</v>
      </c>
      <c r="D242" s="21" t="s">
        <v>265</v>
      </c>
      <c r="E242" s="22" t="s">
        <v>558</v>
      </c>
      <c r="F242" s="22">
        <v>65000</v>
      </c>
      <c r="G242" s="22" t="s">
        <v>992</v>
      </c>
      <c r="H242" s="25" t="s">
        <v>991</v>
      </c>
      <c r="I242" s="22"/>
      <c r="J242" s="22"/>
      <c r="K242" s="22"/>
    </row>
    <row r="243" spans="1:11" ht="18" customHeight="1" x14ac:dyDescent="0.35">
      <c r="A243" s="23" t="s">
        <v>1002</v>
      </c>
      <c r="B243" s="24" t="s">
        <v>27</v>
      </c>
      <c r="C243" s="23" t="s">
        <v>1003</v>
      </c>
      <c r="D243" s="23" t="s">
        <v>259</v>
      </c>
      <c r="E243" s="24" t="s">
        <v>260</v>
      </c>
      <c r="F243" s="24">
        <v>33000</v>
      </c>
      <c r="G243" s="24" t="s">
        <v>987</v>
      </c>
      <c r="H243" s="24" t="s">
        <v>988</v>
      </c>
      <c r="I243" s="24"/>
      <c r="J243" s="24"/>
      <c r="K243" s="24"/>
    </row>
    <row r="244" spans="1:11" ht="18" customHeight="1" x14ac:dyDescent="0.35">
      <c r="A244" s="21" t="s">
        <v>69</v>
      </c>
      <c r="B244" s="22" t="s">
        <v>27</v>
      </c>
      <c r="C244" s="21" t="s">
        <v>435</v>
      </c>
      <c r="D244" s="21" t="s">
        <v>348</v>
      </c>
      <c r="E244" s="22" t="s">
        <v>172</v>
      </c>
      <c r="F244" s="22">
        <v>31000</v>
      </c>
      <c r="G244" s="22" t="s">
        <v>998</v>
      </c>
      <c r="H244" s="25" t="s">
        <v>991</v>
      </c>
      <c r="I244" s="22"/>
      <c r="J244" s="22"/>
      <c r="K244" s="22"/>
    </row>
    <row r="245" spans="1:11" ht="18" customHeight="1" x14ac:dyDescent="0.35">
      <c r="A245" s="23" t="s">
        <v>71</v>
      </c>
      <c r="B245" s="24" t="s">
        <v>27</v>
      </c>
      <c r="C245" s="23" t="s">
        <v>400</v>
      </c>
      <c r="D245" s="23" t="s">
        <v>265</v>
      </c>
      <c r="E245" s="24" t="s">
        <v>266</v>
      </c>
      <c r="F245" s="24"/>
      <c r="G245" s="24" t="s">
        <v>990</v>
      </c>
      <c r="H245" s="25" t="s">
        <v>991</v>
      </c>
      <c r="I245" s="24"/>
      <c r="J245" s="24"/>
      <c r="K245" s="24"/>
    </row>
    <row r="246" spans="1:11" ht="18" customHeight="1" x14ac:dyDescent="0.35">
      <c r="A246" s="21" t="s">
        <v>78</v>
      </c>
      <c r="B246" s="22" t="s">
        <v>27</v>
      </c>
      <c r="C246" s="21" t="s">
        <v>423</v>
      </c>
      <c r="D246" s="21" t="s">
        <v>244</v>
      </c>
      <c r="E246" s="22" t="s">
        <v>245</v>
      </c>
      <c r="F246" s="22"/>
      <c r="G246" s="22"/>
      <c r="H246" s="25" t="s">
        <v>991</v>
      </c>
      <c r="I246" s="22"/>
      <c r="J246" s="22"/>
      <c r="K246" s="22"/>
    </row>
    <row r="247" spans="1:11" ht="18" customHeight="1" x14ac:dyDescent="0.35">
      <c r="A247" s="23" t="s">
        <v>72</v>
      </c>
      <c r="B247" s="24" t="s">
        <v>38</v>
      </c>
      <c r="C247" s="23" t="s">
        <v>1004</v>
      </c>
      <c r="D247" s="23" t="s">
        <v>1005</v>
      </c>
      <c r="E247" s="24" t="s">
        <v>105</v>
      </c>
      <c r="F247" s="24"/>
      <c r="G247" s="24"/>
      <c r="H247" s="25" t="s">
        <v>991</v>
      </c>
      <c r="I247" s="24"/>
      <c r="J247" s="24"/>
      <c r="K247" s="24"/>
    </row>
    <row r="248" spans="1:11" ht="18" customHeight="1" x14ac:dyDescent="0.35">
      <c r="A248" s="21" t="s">
        <v>1006</v>
      </c>
      <c r="B248" s="22" t="s">
        <v>16</v>
      </c>
      <c r="C248" s="21" t="s">
        <v>1007</v>
      </c>
      <c r="D248" s="21" t="s">
        <v>348</v>
      </c>
      <c r="E248" s="22" t="s">
        <v>172</v>
      </c>
      <c r="F248" s="22">
        <v>35000</v>
      </c>
      <c r="G248" s="22" t="s">
        <v>995</v>
      </c>
      <c r="H248" s="22" t="s">
        <v>988</v>
      </c>
      <c r="I248" s="22"/>
      <c r="J248" s="22"/>
      <c r="K248" s="22"/>
    </row>
    <row r="249" spans="1:11" ht="18" customHeight="1" x14ac:dyDescent="0.35">
      <c r="A249" s="23" t="s">
        <v>75</v>
      </c>
      <c r="B249" s="24" t="s">
        <v>16</v>
      </c>
      <c r="C249" s="23" t="s">
        <v>1008</v>
      </c>
      <c r="D249" s="23" t="s">
        <v>1009</v>
      </c>
      <c r="E249" s="24" t="s">
        <v>1010</v>
      </c>
      <c r="F249" s="24">
        <v>31000</v>
      </c>
      <c r="G249" s="24" t="s">
        <v>998</v>
      </c>
      <c r="H249" s="24" t="s">
        <v>988</v>
      </c>
      <c r="I249" s="24"/>
      <c r="J249" s="24" t="s">
        <v>1011</v>
      </c>
      <c r="K249" s="24"/>
    </row>
    <row r="250" spans="1:11" ht="18" customHeight="1" x14ac:dyDescent="0.35">
      <c r="A250" s="21" t="s">
        <v>1012</v>
      </c>
      <c r="B250" s="22" t="s">
        <v>1013</v>
      </c>
      <c r="C250" s="21"/>
      <c r="D250" s="21" t="s">
        <v>239</v>
      </c>
      <c r="E250" s="22" t="s">
        <v>105</v>
      </c>
      <c r="F250" s="22"/>
      <c r="G250" s="22"/>
      <c r="H250" s="22" t="s">
        <v>107</v>
      </c>
      <c r="I250" s="22"/>
      <c r="J250" s="22"/>
      <c r="K250" s="22"/>
    </row>
    <row r="251" spans="1:11" ht="18" customHeight="1" x14ac:dyDescent="0.35">
      <c r="A251" s="23" t="s">
        <v>1014</v>
      </c>
      <c r="B251" s="24" t="s">
        <v>1013</v>
      </c>
      <c r="C251" s="23"/>
      <c r="D251" s="23" t="s">
        <v>244</v>
      </c>
      <c r="E251" s="24" t="s">
        <v>245</v>
      </c>
      <c r="F251" s="24"/>
      <c r="G251" s="24"/>
      <c r="H251" s="24" t="s">
        <v>107</v>
      </c>
      <c r="I251" s="24"/>
      <c r="J251" s="24"/>
      <c r="K251" s="24"/>
    </row>
    <row r="252" spans="1:11" ht="18" customHeight="1" x14ac:dyDescent="0.35">
      <c r="A252" s="21" t="s">
        <v>1015</v>
      </c>
      <c r="B252" s="22" t="s">
        <v>1013</v>
      </c>
      <c r="C252" s="21"/>
      <c r="D252" s="21" t="s">
        <v>1016</v>
      </c>
      <c r="E252" s="22" t="s">
        <v>260</v>
      </c>
      <c r="F252" s="22"/>
      <c r="G252" s="22"/>
      <c r="H252" s="22" t="s">
        <v>107</v>
      </c>
      <c r="I252" s="22"/>
      <c r="J252" s="22"/>
      <c r="K252" s="22"/>
    </row>
    <row r="253" spans="1:11" ht="18" customHeight="1" x14ac:dyDescent="0.35">
      <c r="A253" s="23" t="s">
        <v>1017</v>
      </c>
      <c r="B253" s="24" t="s">
        <v>1013</v>
      </c>
      <c r="C253" s="23"/>
      <c r="D253" s="23" t="s">
        <v>176</v>
      </c>
      <c r="E253" s="24" t="s">
        <v>172</v>
      </c>
      <c r="F253" s="24"/>
      <c r="G253" s="24"/>
      <c r="H253" s="24" t="s">
        <v>107</v>
      </c>
      <c r="I253" s="24"/>
      <c r="J253" s="24"/>
      <c r="K253" s="24"/>
    </row>
    <row r="254" spans="1:11" ht="18" customHeight="1" x14ac:dyDescent="0.35">
      <c r="A254" s="21" t="s">
        <v>1018</v>
      </c>
      <c r="B254" s="22" t="s">
        <v>1013</v>
      </c>
      <c r="C254" s="21"/>
      <c r="D254" s="21" t="s">
        <v>122</v>
      </c>
      <c r="E254" s="22" t="s">
        <v>123</v>
      </c>
      <c r="F254" s="22"/>
      <c r="G254" s="22"/>
      <c r="H254" s="22" t="s">
        <v>107</v>
      </c>
      <c r="I254" s="22"/>
      <c r="J254" s="22"/>
      <c r="K254" s="22"/>
    </row>
    <row r="255" spans="1:11" ht="18" customHeight="1" x14ac:dyDescent="0.35">
      <c r="A255" s="23" t="s">
        <v>1019</v>
      </c>
      <c r="B255" s="24" t="s">
        <v>1013</v>
      </c>
      <c r="C255" s="23"/>
      <c r="D255" s="23" t="s">
        <v>187</v>
      </c>
      <c r="E255" s="24" t="s">
        <v>117</v>
      </c>
      <c r="F255" s="24"/>
      <c r="G255" s="24"/>
      <c r="H255" s="24" t="s">
        <v>107</v>
      </c>
      <c r="I255" s="24"/>
      <c r="J255" s="24"/>
      <c r="K255" s="24"/>
    </row>
    <row r="256" spans="1:11" ht="18" customHeight="1" x14ac:dyDescent="0.35">
      <c r="A256" s="21" t="s">
        <v>1020</v>
      </c>
      <c r="B256" s="22" t="s">
        <v>1013</v>
      </c>
      <c r="C256" s="21"/>
      <c r="D256" s="21" t="s">
        <v>132</v>
      </c>
      <c r="E256" s="22" t="s">
        <v>128</v>
      </c>
      <c r="F256" s="22"/>
      <c r="G256" s="22"/>
      <c r="H256" s="22" t="s">
        <v>107</v>
      </c>
      <c r="I256" s="22"/>
      <c r="J256" s="22"/>
      <c r="K256" s="22"/>
    </row>
    <row r="257" spans="1:11" ht="18" customHeight="1" x14ac:dyDescent="0.35">
      <c r="A257" s="23" t="s">
        <v>1021</v>
      </c>
      <c r="B257" s="24" t="s">
        <v>1013</v>
      </c>
      <c r="C257" s="23"/>
      <c r="D257" s="23" t="s">
        <v>104</v>
      </c>
      <c r="E257" s="24" t="s">
        <v>105</v>
      </c>
      <c r="F257" s="24"/>
      <c r="G257" s="24"/>
      <c r="H257" s="24" t="s">
        <v>107</v>
      </c>
      <c r="I257" s="24"/>
      <c r="J257" s="24"/>
      <c r="K257" s="24"/>
    </row>
    <row r="258" spans="1:11" ht="18" customHeight="1" x14ac:dyDescent="0.35">
      <c r="A258" s="21" t="s">
        <v>1022</v>
      </c>
      <c r="B258" s="22" t="s">
        <v>1013</v>
      </c>
      <c r="C258" s="21"/>
      <c r="D258" s="21" t="s">
        <v>228</v>
      </c>
      <c r="E258" s="22" t="s">
        <v>229</v>
      </c>
      <c r="F258" s="22"/>
      <c r="G258" s="22"/>
      <c r="H258" s="22" t="s">
        <v>107</v>
      </c>
      <c r="I258" s="22"/>
      <c r="J258" s="22"/>
      <c r="K258" s="22"/>
    </row>
    <row r="259" spans="1:11" ht="18" customHeight="1" x14ac:dyDescent="0.35">
      <c r="A259" s="23" t="s">
        <v>1023</v>
      </c>
      <c r="B259" s="24" t="s">
        <v>1013</v>
      </c>
      <c r="C259" s="23"/>
      <c r="D259" s="23" t="s">
        <v>197</v>
      </c>
      <c r="E259" s="24" t="s">
        <v>198</v>
      </c>
      <c r="F259" s="24"/>
      <c r="G259" s="24"/>
      <c r="H259" s="24" t="s">
        <v>107</v>
      </c>
      <c r="I259" s="24"/>
      <c r="J259" s="24"/>
      <c r="K259" s="24"/>
    </row>
    <row r="260" spans="1:11" ht="18" customHeight="1" x14ac:dyDescent="0.35">
      <c r="A260" s="21" t="s">
        <v>1024</v>
      </c>
      <c r="B260" s="22" t="s">
        <v>1013</v>
      </c>
      <c r="C260" s="21"/>
      <c r="D260" s="21" t="s">
        <v>234</v>
      </c>
      <c r="E260" s="22" t="s">
        <v>235</v>
      </c>
      <c r="F260" s="22"/>
      <c r="G260" s="22"/>
      <c r="H260" s="22" t="s">
        <v>107</v>
      </c>
      <c r="I260" s="22"/>
      <c r="J260" s="22"/>
      <c r="K260" s="22"/>
    </row>
    <row r="261" spans="1:11" ht="18" customHeight="1" x14ac:dyDescent="0.35">
      <c r="A261" s="23" t="s">
        <v>1025</v>
      </c>
      <c r="B261" s="24" t="s">
        <v>1013</v>
      </c>
      <c r="C261" s="23"/>
      <c r="D261" s="23" t="s">
        <v>111</v>
      </c>
      <c r="E261" s="24" t="s">
        <v>112</v>
      </c>
      <c r="F261" s="24"/>
      <c r="G261" s="24"/>
      <c r="H261" s="24" t="s">
        <v>107</v>
      </c>
      <c r="I261" s="24"/>
      <c r="J261" s="24"/>
      <c r="K261" s="24"/>
    </row>
    <row r="262" spans="1:11" ht="18" customHeight="1" x14ac:dyDescent="0.35">
      <c r="A262" s="21" t="s">
        <v>1026</v>
      </c>
      <c r="B262" s="22" t="s">
        <v>1013</v>
      </c>
      <c r="C262" s="21"/>
      <c r="D262" s="21" t="s">
        <v>214</v>
      </c>
      <c r="E262" s="22" t="s">
        <v>215</v>
      </c>
      <c r="F262" s="22"/>
      <c r="G262" s="22"/>
      <c r="H262" s="22" t="s">
        <v>107</v>
      </c>
      <c r="I262" s="22"/>
      <c r="J262" s="22"/>
      <c r="K262" s="22"/>
    </row>
    <row r="263" spans="1:11" ht="18" customHeight="1" x14ac:dyDescent="0.35">
      <c r="A263" s="23" t="s">
        <v>1027</v>
      </c>
      <c r="B263" s="24" t="s">
        <v>1013</v>
      </c>
      <c r="C263" s="23"/>
      <c r="D263" s="23" t="s">
        <v>224</v>
      </c>
      <c r="E263" s="24" t="s">
        <v>225</v>
      </c>
      <c r="F263" s="24"/>
      <c r="G263" s="24"/>
      <c r="H263" s="24" t="s">
        <v>107</v>
      </c>
      <c r="I263" s="24"/>
      <c r="J263" s="24"/>
      <c r="K263" s="24"/>
    </row>
    <row r="264" spans="1:11" ht="18" customHeight="1" x14ac:dyDescent="0.35">
      <c r="A264" s="21" t="s">
        <v>1028</v>
      </c>
      <c r="B264" s="22" t="s">
        <v>1013</v>
      </c>
      <c r="C264" s="21"/>
      <c r="D264" s="21" t="s">
        <v>348</v>
      </c>
      <c r="E264" s="22" t="s">
        <v>172</v>
      </c>
      <c r="F264" s="22"/>
      <c r="G264" s="22"/>
      <c r="H264" s="22" t="s">
        <v>107</v>
      </c>
      <c r="I264" s="22"/>
      <c r="J264" s="22"/>
      <c r="K264" s="22"/>
    </row>
    <row r="265" spans="1:11" ht="18" customHeight="1" x14ac:dyDescent="0.35">
      <c r="A265" s="23" t="s">
        <v>1029</v>
      </c>
      <c r="B265" s="24" t="s">
        <v>1013</v>
      </c>
      <c r="C265" s="23"/>
      <c r="D265" s="23" t="s">
        <v>335</v>
      </c>
      <c r="E265" s="24" t="s">
        <v>142</v>
      </c>
      <c r="F265" s="24"/>
      <c r="G265" s="24"/>
      <c r="H265" s="24" t="s">
        <v>107</v>
      </c>
      <c r="I265" s="24"/>
      <c r="J265" s="24"/>
      <c r="K265" s="24"/>
    </row>
    <row r="266" spans="1:11" ht="18" customHeight="1" x14ac:dyDescent="0.35">
      <c r="A266" s="21" t="s">
        <v>1030</v>
      </c>
      <c r="B266" s="22" t="s">
        <v>1013</v>
      </c>
      <c r="C266" s="21"/>
      <c r="D266" s="21" t="s">
        <v>135</v>
      </c>
      <c r="E266" s="22" t="s">
        <v>136</v>
      </c>
      <c r="F266" s="22"/>
      <c r="G266" s="22"/>
      <c r="H266" s="22" t="s">
        <v>107</v>
      </c>
      <c r="I266" s="22"/>
      <c r="J266" s="22"/>
      <c r="K266" s="22"/>
    </row>
    <row r="267" spans="1:11" ht="18" customHeight="1" x14ac:dyDescent="0.35">
      <c r="A267" s="23" t="s">
        <v>1031</v>
      </c>
      <c r="B267" s="24" t="s">
        <v>1013</v>
      </c>
      <c r="C267" s="23"/>
      <c r="D267" s="23" t="s">
        <v>531</v>
      </c>
      <c r="E267" s="24" t="s">
        <v>105</v>
      </c>
      <c r="F267" s="24"/>
      <c r="G267" s="24"/>
      <c r="H267" s="24" t="s">
        <v>107</v>
      </c>
      <c r="I267" s="24"/>
      <c r="J267" s="24"/>
      <c r="K267" s="24"/>
    </row>
    <row r="268" spans="1:11" ht="18" customHeight="1" x14ac:dyDescent="0.35">
      <c r="A268" s="21" t="s">
        <v>1032</v>
      </c>
      <c r="B268" s="22" t="s">
        <v>1013</v>
      </c>
      <c r="C268" s="21"/>
      <c r="D268" s="21" t="s">
        <v>152</v>
      </c>
      <c r="E268" s="22" t="s">
        <v>105</v>
      </c>
      <c r="F268" s="22"/>
      <c r="G268" s="22"/>
      <c r="H268" s="22" t="s">
        <v>107</v>
      </c>
      <c r="I268" s="22"/>
      <c r="J268" s="22"/>
      <c r="K268" s="22"/>
    </row>
    <row r="269" spans="1:11" ht="18" customHeight="1" x14ac:dyDescent="0.35">
      <c r="A269" s="23" t="s">
        <v>1033</v>
      </c>
      <c r="B269" s="24" t="s">
        <v>1013</v>
      </c>
      <c r="C269" s="23"/>
      <c r="D269" s="23" t="s">
        <v>1034</v>
      </c>
      <c r="E269" s="24" t="s">
        <v>880</v>
      </c>
      <c r="F269" s="24"/>
      <c r="G269" s="24"/>
      <c r="H269" s="24" t="s">
        <v>107</v>
      </c>
      <c r="I269" s="24"/>
      <c r="J269" s="24"/>
      <c r="K269" s="24"/>
    </row>
  </sheetData>
  <autoFilter ref="A1:K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tabSelected="1" topLeftCell="N1" workbookViewId="0">
      <pane ySplit="1" topLeftCell="A2" activePane="bottomLeft" state="frozen"/>
      <selection pane="bottomLeft" activeCell="S2" sqref="S2"/>
    </sheetView>
  </sheetViews>
  <sheetFormatPr defaultRowHeight="14.5" x14ac:dyDescent="0.35"/>
  <cols>
    <col min="1" max="1" width="6" customWidth="1"/>
    <col min="2" max="2" width="28" customWidth="1"/>
    <col min="3" max="3" width="8" customWidth="1"/>
    <col min="4" max="4" width="22" customWidth="1"/>
    <col min="5" max="5" width="16" customWidth="1"/>
    <col min="6" max="6" width="5" customWidth="1"/>
    <col min="7" max="7" width="10" customWidth="1"/>
    <col min="8" max="8" width="26" customWidth="1"/>
    <col min="9" max="9" width="8" customWidth="1"/>
    <col min="10" max="10" width="12" customWidth="1"/>
    <col min="11" max="11" width="18" customWidth="1"/>
    <col min="12" max="12" width="46" customWidth="1"/>
    <col min="13" max="13" width="36" customWidth="1"/>
    <col min="14" max="14" width="40" customWidth="1"/>
    <col min="15" max="15" width="35" customWidth="1"/>
    <col min="16" max="16" width="40" customWidth="1"/>
    <col min="17" max="18" width="14" customWidth="1"/>
    <col min="19" max="19" width="25" customWidth="1"/>
  </cols>
  <sheetData>
    <row r="1" spans="1:19" ht="28" customHeight="1" x14ac:dyDescent="0.35">
      <c r="A1" s="26" t="s">
        <v>1035</v>
      </c>
      <c r="B1" s="26" t="s">
        <v>1036</v>
      </c>
      <c r="C1" s="26" t="s">
        <v>55</v>
      </c>
      <c r="D1" s="26" t="s">
        <v>93</v>
      </c>
      <c r="E1" s="26" t="s">
        <v>94</v>
      </c>
      <c r="F1" s="26" t="s">
        <v>95</v>
      </c>
      <c r="G1" s="26" t="s">
        <v>96</v>
      </c>
      <c r="H1" s="26" t="s">
        <v>1037</v>
      </c>
      <c r="I1" s="26" t="s">
        <v>54</v>
      </c>
      <c r="J1" s="26" t="s">
        <v>1038</v>
      </c>
      <c r="K1" s="26" t="s">
        <v>1039</v>
      </c>
      <c r="L1" s="26" t="s">
        <v>1040</v>
      </c>
      <c r="M1" s="26" t="s">
        <v>1041</v>
      </c>
      <c r="N1" s="26" t="s">
        <v>1042</v>
      </c>
      <c r="O1" s="26" t="s">
        <v>1043</v>
      </c>
      <c r="P1" s="26" t="s">
        <v>1044</v>
      </c>
      <c r="Q1" s="26" t="s">
        <v>56</v>
      </c>
      <c r="R1" s="26" t="s">
        <v>1045</v>
      </c>
      <c r="S1" s="26" t="s">
        <v>1046</v>
      </c>
    </row>
    <row r="2" spans="1:19" ht="75" customHeight="1" x14ac:dyDescent="0.35">
      <c r="A2" s="27">
        <v>1</v>
      </c>
      <c r="B2" s="28" t="s">
        <v>63</v>
      </c>
      <c r="C2" s="27" t="s">
        <v>22</v>
      </c>
      <c r="D2" s="28" t="s">
        <v>354</v>
      </c>
      <c r="E2" s="28" t="s">
        <v>1000</v>
      </c>
      <c r="F2" s="27" t="s">
        <v>158</v>
      </c>
      <c r="G2" s="27">
        <v>60000</v>
      </c>
      <c r="H2" s="29" t="s">
        <v>1047</v>
      </c>
      <c r="I2" s="27">
        <v>55</v>
      </c>
      <c r="J2" s="27" t="s">
        <v>1048</v>
      </c>
      <c r="K2" s="27" t="s">
        <v>1049</v>
      </c>
      <c r="L2" s="30" t="s">
        <v>1050</v>
      </c>
      <c r="M2" s="30" t="s">
        <v>1051</v>
      </c>
      <c r="N2" s="30" t="s">
        <v>1052</v>
      </c>
      <c r="O2" s="30"/>
      <c r="P2" s="28" t="s">
        <v>1053</v>
      </c>
      <c r="Q2" s="25" t="s">
        <v>1054</v>
      </c>
      <c r="R2" s="27" t="s">
        <v>1086</v>
      </c>
      <c r="S2" s="27" t="s">
        <v>1087</v>
      </c>
    </row>
    <row r="3" spans="1:19" ht="75" customHeight="1" x14ac:dyDescent="0.35">
      <c r="A3" s="24">
        <v>2</v>
      </c>
      <c r="B3" s="23" t="s">
        <v>75</v>
      </c>
      <c r="C3" s="24" t="s">
        <v>16</v>
      </c>
      <c r="D3" s="23" t="s">
        <v>1008</v>
      </c>
      <c r="E3" s="23" t="s">
        <v>1009</v>
      </c>
      <c r="F3" s="24" t="s">
        <v>1010</v>
      </c>
      <c r="G3" s="24">
        <v>31000</v>
      </c>
      <c r="H3" s="31" t="s">
        <v>1055</v>
      </c>
      <c r="I3" s="24">
        <v>30</v>
      </c>
      <c r="J3" s="24" t="s">
        <v>1048</v>
      </c>
      <c r="K3" s="24" t="s">
        <v>1056</v>
      </c>
      <c r="L3" s="32" t="s">
        <v>1057</v>
      </c>
      <c r="M3" s="32" t="s">
        <v>1058</v>
      </c>
      <c r="N3" s="32" t="s">
        <v>1059</v>
      </c>
      <c r="O3" s="32"/>
      <c r="P3" s="23" t="s">
        <v>1060</v>
      </c>
      <c r="Q3" s="33" t="s">
        <v>1061</v>
      </c>
      <c r="R3" s="24"/>
      <c r="S3" s="24"/>
    </row>
    <row r="4" spans="1:19" ht="75" customHeight="1" x14ac:dyDescent="0.35">
      <c r="A4" s="27">
        <v>3</v>
      </c>
      <c r="B4" s="28" t="s">
        <v>996</v>
      </c>
      <c r="C4" s="27" t="s">
        <v>22</v>
      </c>
      <c r="D4" s="28" t="s">
        <v>300</v>
      </c>
      <c r="E4" s="28" t="s">
        <v>997</v>
      </c>
      <c r="F4" s="27" t="s">
        <v>209</v>
      </c>
      <c r="G4" s="27">
        <v>67500</v>
      </c>
      <c r="H4" s="34" t="s">
        <v>1062</v>
      </c>
      <c r="I4" s="27">
        <v>28</v>
      </c>
      <c r="J4" s="27" t="s">
        <v>1063</v>
      </c>
      <c r="K4" s="27" t="s">
        <v>1049</v>
      </c>
      <c r="L4" s="30" t="s">
        <v>1064</v>
      </c>
      <c r="M4" s="30" t="s">
        <v>1065</v>
      </c>
      <c r="N4" s="30" t="s">
        <v>1066</v>
      </c>
      <c r="O4" s="30"/>
      <c r="P4" s="28" t="s">
        <v>1067</v>
      </c>
      <c r="Q4" s="34" t="s">
        <v>1068</v>
      </c>
      <c r="R4" s="27"/>
      <c r="S4" s="27"/>
    </row>
    <row r="5" spans="1:19" ht="75" customHeight="1" x14ac:dyDescent="0.35">
      <c r="A5" s="24">
        <v>4</v>
      </c>
      <c r="B5" s="23" t="s">
        <v>1002</v>
      </c>
      <c r="C5" s="24" t="s">
        <v>27</v>
      </c>
      <c r="D5" s="23" t="s">
        <v>1003</v>
      </c>
      <c r="E5" s="23" t="s">
        <v>259</v>
      </c>
      <c r="F5" s="24" t="s">
        <v>260</v>
      </c>
      <c r="G5" s="24">
        <v>33000</v>
      </c>
      <c r="H5" s="34" t="s">
        <v>1062</v>
      </c>
      <c r="I5" s="24">
        <v>24</v>
      </c>
      <c r="J5" s="24" t="s">
        <v>1063</v>
      </c>
      <c r="K5" s="24" t="s">
        <v>1049</v>
      </c>
      <c r="L5" s="32" t="s">
        <v>1069</v>
      </c>
      <c r="M5" s="32" t="s">
        <v>1070</v>
      </c>
      <c r="N5" s="32" t="s">
        <v>1071</v>
      </c>
      <c r="O5" s="32"/>
      <c r="P5" s="23" t="s">
        <v>1072</v>
      </c>
      <c r="Q5" s="34" t="s">
        <v>1068</v>
      </c>
      <c r="R5" s="24"/>
      <c r="S5" s="24"/>
    </row>
  </sheetData>
  <autoFilter ref="A1:S1" xr:uid="{00000000-0009-0000-0000-000002000000}"/>
  <dataValidations count="1">
    <dataValidation type="list" allowBlank="1" sqref="R2:R500" xr:uid="{00000000-0002-0000-0200-000000000000}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8" customWidth="1"/>
    <col min="3" max="3" width="8" customWidth="1"/>
    <col min="4" max="4" width="22" customWidth="1"/>
    <col min="5" max="5" width="16" customWidth="1"/>
    <col min="6" max="6" width="5" customWidth="1"/>
    <col min="7" max="7" width="10" customWidth="1"/>
    <col min="8" max="8" width="26" customWidth="1"/>
    <col min="9" max="9" width="8" customWidth="1"/>
    <col min="10" max="10" width="12" customWidth="1"/>
    <col min="11" max="11" width="18" customWidth="1"/>
    <col min="12" max="12" width="46" customWidth="1"/>
    <col min="13" max="13" width="36" customWidth="1"/>
    <col min="14" max="14" width="40" customWidth="1"/>
    <col min="15" max="15" width="35" customWidth="1"/>
    <col min="16" max="16" width="40" customWidth="1"/>
    <col min="17" max="18" width="14" customWidth="1"/>
    <col min="19" max="19" width="25" customWidth="1"/>
  </cols>
  <sheetData>
    <row r="1" spans="1:19" ht="28" customHeight="1" x14ac:dyDescent="0.35">
      <c r="A1" s="35" t="s">
        <v>1035</v>
      </c>
      <c r="B1" s="35" t="s">
        <v>1036</v>
      </c>
      <c r="C1" s="35" t="s">
        <v>55</v>
      </c>
      <c r="D1" s="35" t="s">
        <v>93</v>
      </c>
      <c r="E1" s="35" t="s">
        <v>94</v>
      </c>
      <c r="F1" s="35" t="s">
        <v>95</v>
      </c>
      <c r="G1" s="35" t="s">
        <v>96</v>
      </c>
      <c r="H1" s="35" t="s">
        <v>1037</v>
      </c>
      <c r="I1" s="35" t="s">
        <v>54</v>
      </c>
      <c r="J1" s="35" t="s">
        <v>1038</v>
      </c>
      <c r="K1" s="35" t="s">
        <v>1039</v>
      </c>
      <c r="L1" s="35" t="s">
        <v>1040</v>
      </c>
      <c r="M1" s="35" t="s">
        <v>1041</v>
      </c>
      <c r="N1" s="35" t="s">
        <v>1042</v>
      </c>
      <c r="O1" s="35" t="s">
        <v>1043</v>
      </c>
      <c r="P1" s="35" t="s">
        <v>1044</v>
      </c>
      <c r="Q1" s="35" t="s">
        <v>56</v>
      </c>
      <c r="R1" s="35" t="s">
        <v>1045</v>
      </c>
      <c r="S1" s="35" t="s">
        <v>1046</v>
      </c>
    </row>
    <row r="2" spans="1:19" ht="75" customHeight="1" x14ac:dyDescent="0.35">
      <c r="A2" s="27">
        <v>1</v>
      </c>
      <c r="B2" s="28" t="s">
        <v>63</v>
      </c>
      <c r="C2" s="27" t="s">
        <v>22</v>
      </c>
      <c r="D2" s="28" t="s">
        <v>354</v>
      </c>
      <c r="E2" s="28" t="s">
        <v>1000</v>
      </c>
      <c r="F2" s="27" t="s">
        <v>158</v>
      </c>
      <c r="G2" s="27">
        <v>60000</v>
      </c>
      <c r="H2" s="29" t="s">
        <v>1047</v>
      </c>
      <c r="I2" s="27">
        <v>55</v>
      </c>
      <c r="J2" s="27" t="s">
        <v>1048</v>
      </c>
      <c r="K2" s="27" t="s">
        <v>1049</v>
      </c>
      <c r="L2" s="30" t="s">
        <v>1050</v>
      </c>
      <c r="M2" s="30" t="s">
        <v>1051</v>
      </c>
      <c r="N2" s="30" t="s">
        <v>1052</v>
      </c>
      <c r="O2" s="30"/>
      <c r="P2" s="28" t="s">
        <v>1053</v>
      </c>
      <c r="Q2" s="25" t="s">
        <v>1054</v>
      </c>
      <c r="R2" s="27"/>
      <c r="S2" s="27"/>
    </row>
  </sheetData>
  <autoFilter ref="A1:S1" xr:uid="{00000000-0009-0000-0000-000003000000}"/>
  <dataValidations count="1">
    <dataValidation type="list" allowBlank="1" sqref="R2:R500" xr:uid="{00000000-0002-0000-0300-000000000000}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8" customWidth="1"/>
    <col min="3" max="3" width="22" customWidth="1"/>
    <col min="4" max="4" width="24" customWidth="1"/>
    <col min="5" max="5" width="14" customWidth="1"/>
    <col min="6" max="6" width="28" customWidth="1"/>
    <col min="7" max="7" width="22" customWidth="1"/>
    <col min="8" max="8" width="28" customWidth="1"/>
    <col min="9" max="9" width="14" customWidth="1"/>
    <col min="10" max="10" width="25" customWidth="1"/>
    <col min="11" max="11" width="28" customWidth="1"/>
    <col min="12" max="12" width="25" customWidth="1"/>
  </cols>
  <sheetData>
    <row r="1" spans="1:12" ht="28" customHeight="1" x14ac:dyDescent="0.35">
      <c r="A1" s="36" t="s">
        <v>1036</v>
      </c>
      <c r="B1" s="36" t="s">
        <v>55</v>
      </c>
      <c r="C1" s="36" t="s">
        <v>93</v>
      </c>
      <c r="D1" s="36" t="s">
        <v>1037</v>
      </c>
      <c r="E1" s="36" t="s">
        <v>56</v>
      </c>
      <c r="F1" s="36" t="s">
        <v>1073</v>
      </c>
      <c r="G1" s="36" t="s">
        <v>1074</v>
      </c>
      <c r="H1" s="36" t="s">
        <v>1075</v>
      </c>
      <c r="I1" s="36" t="s">
        <v>1076</v>
      </c>
      <c r="J1" s="36" t="s">
        <v>1077</v>
      </c>
      <c r="K1" s="36" t="s">
        <v>1078</v>
      </c>
      <c r="L1" s="36" t="s">
        <v>1046</v>
      </c>
    </row>
  </sheetData>
  <autoFilter ref="A1:L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6" customWidth="1"/>
    <col min="2" max="2" width="22" customWidth="1"/>
    <col min="3" max="3" width="12" customWidth="1"/>
    <col min="4" max="4" width="32" customWidth="1"/>
    <col min="5" max="5" width="24" customWidth="1"/>
    <col min="6" max="6" width="55" customWidth="1"/>
    <col min="7" max="7" width="12" customWidth="1"/>
  </cols>
  <sheetData>
    <row r="1" spans="1:7" ht="28" customHeight="1" x14ac:dyDescent="0.35">
      <c r="A1" s="37" t="s">
        <v>514</v>
      </c>
      <c r="B1" s="37" t="s">
        <v>1079</v>
      </c>
      <c r="C1" s="37" t="s">
        <v>1080</v>
      </c>
      <c r="D1" s="37" t="s">
        <v>1081</v>
      </c>
      <c r="E1" s="37" t="s">
        <v>1082</v>
      </c>
      <c r="F1" s="37" t="s">
        <v>1083</v>
      </c>
      <c r="G1" s="37" t="s">
        <v>1084</v>
      </c>
    </row>
    <row r="2" spans="1:7" x14ac:dyDescent="0.35">
      <c r="A2" s="38" t="s">
        <v>1085</v>
      </c>
    </row>
  </sheetData>
  <autoFilter ref="A1:G1" xr:uid="{00000000-0009-0000-0000-000005000000}"/>
  <dataValidations count="1">
    <dataValidation type="list" allowBlank="1" sqref="G2:G200" xr:uid="{00000000-0002-0000-0500-000000000000}">
      <formula1>"Approve,Reject,"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Venue Database</vt:lpstr>
      <vt:lpstr>All Leads</vt:lpstr>
      <vt:lpstr>Act Now</vt:lpstr>
      <vt:lpstr>Stakeholders</vt:lpstr>
      <vt:lpstr>Tuning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Ranjan</cp:lastModifiedBy>
  <dcterms:created xsi:type="dcterms:W3CDTF">2026-06-24T08:39:54Z</dcterms:created>
  <dcterms:modified xsi:type="dcterms:W3CDTF">2026-06-24T08:43:59Z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2026-06-24T08:43:39Z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86626f0b-70ec-432a-aa67-bf1030b9d476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