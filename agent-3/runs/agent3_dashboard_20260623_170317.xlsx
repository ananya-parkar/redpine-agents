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runs/"/>
    </mc:Choice>
  </mc:AlternateContent>
  <xr:revisionPtr revIDLastSave="0" documentId="11_3F54FCCD2D38FDA7EF60A072F88E95322EF1BE19" xr6:coauthVersionLast="47" xr6:coauthVersionMax="47" xr10:uidLastSave="{00000000-0000-0000-0000-000000000000}"/>
  <bookViews>
    <workbookView xWindow="-110" yWindow="-110" windowWidth="19420" windowHeight="10300" activeTab="2" xr2:uid="{00000000-000D-0000-FFFF-FFFF00000000}"/>
  </bookViews>
  <sheets>
    <sheet name="Dashboard" sheetId="1" r:id="rId1"/>
    <sheet name="Companies_DB" sheetId="2" r:id="rId2"/>
    <sheet name="Top_Companies" sheetId="3" r:id="rId3"/>
  </sheets>
  <definedNames>
    <definedName name="_xlnm._FilterDatabase" localSheetId="1" hidden="1">Companies_DB!$A$1:$N$1</definedName>
    <definedName name="_xlnm._FilterDatabase" localSheetId="0" hidden="1">Dashboard!$A$25:$K$25</definedName>
  </definedNames>
  <calcPr calcId="0"/>
</workbook>
</file>

<file path=xl/sharedStrings.xml><?xml version="1.0" encoding="utf-8"?>
<sst xmlns="http://schemas.openxmlformats.org/spreadsheetml/2006/main" count="355" uniqueCount="154">
  <si>
    <t>Business Acquisition Targeting Dashboard</t>
  </si>
  <si>
    <t>Geography:</t>
  </si>
  <si>
    <t>Data as of:</t>
  </si>
  <si>
    <t>Surface family-owned, founder-led businesses that fit the acquisition profile</t>
  </si>
  <si>
    <t>Florida</t>
  </si>
  <si>
    <t>23-Jun-2026 05:03 PM</t>
  </si>
  <si>
    <t xml:space="preserve">  Founder-Led:  7</t>
  </si>
  <si>
    <t xml:space="preserve">  Family-Owned:  5</t>
  </si>
  <si>
    <t xml:space="preserve">  Highest Score:  85</t>
  </si>
  <si>
    <t xml:space="preserve">  New Today:  4</t>
  </si>
  <si>
    <t>🎯 Total Targets Found</t>
  </si>
  <si>
    <t>➕ New This Week</t>
  </si>
  <si>
    <t>⭐ Shortlisted</t>
  </si>
  <si>
    <t>📋 In Review</t>
  </si>
  <si>
    <t>✅ Reviewed</t>
  </si>
  <si>
    <t>All Time</t>
  </si>
  <si>
    <t>vs Last Week: ↓ 3</t>
  </si>
  <si>
    <t>vs Last Week: ↑ 1</t>
  </si>
  <si>
    <t>vs Last Week: ↑ 4</t>
  </si>
  <si>
    <t>vs Last Week: ↑ 2</t>
  </si>
  <si>
    <t>State</t>
  </si>
  <si>
    <t>Count</t>
  </si>
  <si>
    <t>Band</t>
  </si>
  <si>
    <t>Industry</t>
  </si>
  <si>
    <t>📍 TOP GEOGRAPHY
Florida</t>
  </si>
  <si>
    <t>Key Insights</t>
  </si>
  <si>
    <t>20-40</t>
  </si>
  <si>
    <t>Retail</t>
  </si>
  <si>
    <t>• ✓ Founder-Led: 54%</t>
  </si>
  <si>
    <t>Unknown</t>
  </si>
  <si>
    <t>40-60</t>
  </si>
  <si>
    <t>Transportation, Lo...</t>
  </si>
  <si>
    <t>60-80</t>
  </si>
  <si>
    <t>Medical Devices</t>
  </si>
  <si>
    <t>• 🏠 Family-Owned: 38%</t>
  </si>
  <si>
    <t>80-100</t>
  </si>
  <si>
    <t>Food</t>
  </si>
  <si>
    <t>⭐ HIGHEST SCORE
85</t>
  </si>
  <si>
    <t>• 📍 Top Geography: Florida</t>
  </si>
  <si>
    <t>• 🆕 New Targets: 4</t>
  </si>
  <si>
    <t>🏆 TOP INDUSTRY
Retail</t>
  </si>
  <si>
    <t>• ⭐ High Scorers (80+): 1</t>
  </si>
  <si>
    <t>Rank</t>
  </si>
  <si>
    <t>Company Name</t>
  </si>
  <si>
    <t>Founder Name</t>
  </si>
  <si>
    <t>Founder Age (Est.)</t>
  </si>
  <si>
    <t>Years in Business</t>
  </si>
  <si>
    <t>Readiness Score</t>
  </si>
  <si>
    <t>Ownership Status</t>
  </si>
  <si>
    <t>Status</t>
  </si>
  <si>
    <t>Why Selected</t>
  </si>
  <si>
    <t>Ownership Tenure</t>
  </si>
  <si>
    <t>ALDI</t>
  </si>
  <si>
    <t>Karl and Theo Albrecht</t>
  </si>
  <si>
    <t>Family Owned</t>
  </si>
  <si>
    <t>New</t>
  </si>
  <si>
    <t>ALDI's strong market position and high seller readiness make it an attractive acquisition target.</t>
  </si>
  <si>
    <t>77</t>
  </si>
  <si>
    <t>All Florida Paper</t>
  </si>
  <si>
    <t>Armando Caceres</t>
  </si>
  <si>
    <t>FL</t>
  </si>
  <si>
    <t>Founder Owned</t>
  </si>
  <si>
    <t>All Florida Paper is a well-established logistics company with strong leadership.</t>
  </si>
  <si>
    <t>30</t>
  </si>
  <si>
    <t>Arthrex</t>
  </si>
  <si>
    <t>Reinhold Schmieding</t>
  </si>
  <si>
    <t>Pursuing</t>
  </si>
  <si>
    <t>Arthrex's long history and family ownership make it an appealing acquisition target.</t>
  </si>
  <si>
    <t>American Sugar Refining</t>
  </si>
  <si>
    <t>Florida Crystals Corporation and Sugar Cane Growers Cooperative of Florida</t>
  </si>
  <si>
    <t>Passed</t>
  </si>
  <si>
    <t>Established food industry player with strong family ownership and partnership structure.</t>
  </si>
  <si>
    <t>Accordis International</t>
  </si>
  <si>
    <t>Rehan Khan</t>
  </si>
  <si>
    <t>Accordis International is a well-established, founder-led IT services firm.</t>
  </si>
  <si>
    <t>15</t>
  </si>
  <si>
    <t>Acosta</t>
  </si>
  <si>
    <t>L.T. Acosta</t>
  </si>
  <si>
    <t>Acosta's 99 years in business make it a stable acquisition target.</t>
  </si>
  <si>
    <t>AG GENERAL CONTRACTOR</t>
  </si>
  <si>
    <t>Guillermo Gaona and Pablo Allamand Sr.</t>
  </si>
  <si>
    <t>Established contractor with strong leadership and 46 years of industry experience.</t>
  </si>
  <si>
    <t>Acosta Group</t>
  </si>
  <si>
    <t>Luis Acosta</t>
  </si>
  <si>
    <t>Acosta Group's 99 years in business makes it a strong acquisition candidate.</t>
  </si>
  <si>
    <t>AB Committed Capital</t>
  </si>
  <si>
    <t>Evan Bozymski, Nicholas Adam</t>
  </si>
  <si>
    <t>AB Committed Capital is a promising family-owned investment firm with strong leadership.</t>
  </si>
  <si>
    <t>Strong acquisition target backed by successful family offices in private investment.</t>
  </si>
  <si>
    <t>ALARM BROKERS OF FLORIDA LLC</t>
  </si>
  <si>
    <t>Steve Carulo and Mary Runno</t>
  </si>
  <si>
    <t>Strong acquisition target with industry expertise and high seller readiness.</t>
  </si>
  <si>
    <t>Air Pros USA</t>
  </si>
  <si>
    <t>Anthony Perera</t>
  </si>
  <si>
    <t>Air Pros USA is poised for growth under founder-led leadership.</t>
  </si>
  <si>
    <t>Altrius</t>
  </si>
  <si>
    <t>Altrius is a young insurance company with growth potential in Florida.</t>
  </si>
  <si>
    <t>Company Type</t>
  </si>
  <si>
    <t>Founded Year</t>
  </si>
  <si>
    <t>Founder Led</t>
  </si>
  <si>
    <t>Founder Age Est.</t>
  </si>
  <si>
    <t>Seller Readiness Score</t>
  </si>
  <si>
    <t>Review Status</t>
  </si>
  <si>
    <t>First Seen</t>
  </si>
  <si>
    <t>Last Seen</t>
  </si>
  <si>
    <t>Private</t>
  </si>
  <si>
    <t>1946</t>
  </si>
  <si>
    <t>No</t>
  </si>
  <si>
    <t>Yes</t>
  </si>
  <si>
    <t>Transportation, Logistics, Supply Chain and Storage</t>
  </si>
  <si>
    <t>1993</t>
  </si>
  <si>
    <t>1980</t>
  </si>
  <si>
    <t>1998</t>
  </si>
  <si>
    <t>IT Services and IT Consulting</t>
  </si>
  <si>
    <t>2008</t>
  </si>
  <si>
    <t>Business Services &amp; Supplies</t>
  </si>
  <si>
    <t>1927</t>
  </si>
  <si>
    <t>Residential Building Construction</t>
  </si>
  <si>
    <t>Marketing and Sales</t>
  </si>
  <si>
    <t>Investment</t>
  </si>
  <si>
    <t>2023</t>
  </si>
  <si>
    <t>Venture Capital and Private Equity Principals</t>
  </si>
  <si>
    <t>Security and Investigations</t>
  </si>
  <si>
    <t>2016</t>
  </si>
  <si>
    <t>HVAC and Refrigeration Equipment Manufacturing</t>
  </si>
  <si>
    <t>2017</t>
  </si>
  <si>
    <t>Insurance</t>
  </si>
  <si>
    <t>2020</t>
  </si>
  <si>
    <t>Score</t>
  </si>
  <si>
    <t>Evidence Summary</t>
  </si>
  <si>
    <t>One-line Reason</t>
  </si>
  <si>
    <t>Feedback</t>
  </si>
  <si>
    <t>Notes</t>
  </si>
  <si>
    <t>_candidate_id</t>
  </si>
  <si>
    <t>ALDI is a strong acquisition target due to its established presence in the retail industry, having been in business for 80 years. Its high seller readiness score of 85 indicates a favorable disposition towards a potential sale, making it an attractive opportunity for investors.</t>
  </si>
  <si>
    <t>The company is a family-owned discount supermarket chain founded in 1946, and it is explicitly described as private, which supports its potential as an acquisition target.</t>
  </si>
  <si>
    <t>All Florida Paper is a strong acquisition target due to its established presence in the transportation and logistics industry, having been in business for 33 years. The company is led by its founder, Armando Caceres, who has demonstrated commitment and leadership since its inception.</t>
  </si>
  <si>
    <t>The company was founded in 1993 by Armando Caceres, who has led it since with an initial investment of $50,000. It is explicitly described as privately-held, and the seller readiness score is 65, indicating a potential openness to acquisition.</t>
  </si>
  <si>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</si>
  <si>
    <t>The evidence indicates that Arthrex was founded in 1980 by Reinhold Schmieding, who is still leading the company as President, and it is described as a privately held family business.</t>
  </si>
  <si>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</si>
  <si>
    <t>The company is part of a larger sugar empire owned by the Fanjul brothers, with origins in 19th-century sugar plantations, indicating a deep-rooted legacy in the industry. However, specific details about the founder's leadership and readiness for sale are limited.</t>
  </si>
  <si>
    <t>Accordis International is a strong acquisition target due to its established presence in the IT Services and IT Consulting industry, having been in business for 18 years. The company is founder-led, which often indicates a strong vision and leadership continuity, making it an attractive option for potential buyers.</t>
  </si>
  <si>
    <t>The company was founded in 2008 by Rehan Khan, who currently serves as President/CEO, and it is explicitly described as private with ownership attributed to the founder.</t>
  </si>
  <si>
    <t>Acosta is a well-established company with 99 years in the business services and supplies industry, indicating stability and experience. The current leadership under CEO Darian Pickett suggests a potential for growth and innovation, making it an attractive acquisition target.</t>
  </si>
  <si>
    <t>Founded in 1927 as L.T. Acosta Co. Inc. in Jacksonville, the company has a long history, although the seller readiness score of 35 indicates some challenges in readiness for sale.</t>
  </si>
  <si>
    <t>AG General Contractor is a well-established company with 46 years in the residential building construction industry, indicating stability and experience. The founder-led structure suggests strong leadership and continuity, which can be attractive to potential acquirers.</t>
  </si>
  <si>
    <t>The company was founded in 1980 by Guillermo Gaona and Pablo Allamand Sr., and Pablo Allamand is currently listed as the registered agent and holds a managerial position, indicating ongoing founder involvement.</t>
  </si>
  <si>
    <t>Acosta Group, with 99 years in the marketing and sales industry, demonstrates significant longevity and experience, making it a compelling acquisition target. The current leadership under CEO Brian Wynne, who has been in position since 2020, suggests a potential for strategic growth and innovation.</t>
  </si>
  <si>
    <t>The company was founded in 1927 by Luis Acosta, and it has been operating for nearly a century, indicating stability and expertise in its field. The Seller Readiness Score of 35 suggests some level of preparedness for acquisition.</t>
  </si>
  <si>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</si>
  <si>
    <t>The company was founded in 2023 and is backed by multiple family offices, indicating it is family-owned. Additionally, the leadership roles of the founders provide a solid foundation for potential growth.</t>
  </si>
  <si>
    <t>AB Committed Capital is a strong acquisition target due to its backing from multiple family offices, indicating a solid financial foundation and potential for growth. Additionally, its focus on private investment positions it well within the venture capital and private equity industry.</t>
  </si>
  <si>
    <t>The evidence indicates that AB Committed Capital is supported by successful operators through family offices, although specific details about the company, such as its founding year and leadership, are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</si>
</sst>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
      <b/>
      <sz val="10"/>
      <color rgb="FF1565C0"/>
      <name val="Calibri"/>
    </font>
    <font>
      <b/>
      <sz val="10"/>
      <color rgb="FF9E9E9E"/>
      <name val="Calibri"/>
    </font>
  </fonts>
  <fills count="19">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65">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2" fillId="16" borderId="3" xfId="0" applyFont="1" applyFill="1" applyBorder="1" applyAlignment="1">
      <alignment horizontal="center" vertical="center"/>
    </xf>
    <xf numFmtId="0" fontId="14" fillId="0" borderId="3" xfId="0" applyFont="1" applyBorder="1" applyAlignment="1">
      <alignment vertical="center"/>
    </xf>
    <xf numFmtId="0" fontId="12" fillId="17" borderId="3" xfId="0" applyFont="1" applyFill="1" applyBorder="1" applyAlignment="1">
      <alignment horizontal="center" vertical="center"/>
    </xf>
    <xf numFmtId="0" fontId="15" fillId="0" borderId="3" xfId="0" applyFont="1" applyBorder="1" applyAlignment="1">
      <alignment vertical="center"/>
    </xf>
    <xf numFmtId="0" fontId="16" fillId="0" borderId="3" xfId="0" applyFont="1" applyBorder="1" applyAlignment="1">
      <alignment vertical="center"/>
    </xf>
    <xf numFmtId="0" fontId="12" fillId="18" borderId="3" xfId="0" applyFont="1" applyFill="1" applyBorder="1" applyAlignment="1">
      <alignment horizontal="center" vertical="center"/>
    </xf>
    <xf numFmtId="0" fontId="3" fillId="2" borderId="0" xfId="0" applyFont="1" applyFill="1" applyAlignment="1">
      <alignment horizontal="center" wrapText="1"/>
    </xf>
    <xf numFmtId="0" fontId="13" fillId="0" borderId="3" xfId="0" applyFont="1" applyBorder="1"/>
    <xf numFmtId="0" fontId="13" fillId="16" borderId="3" xfId="0" applyFont="1" applyFill="1" applyBorder="1"/>
    <xf numFmtId="164" fontId="13" fillId="0" borderId="3" xfId="0" applyNumberFormat="1" applyFont="1" applyBorder="1"/>
    <xf numFmtId="0" fontId="13" fillId="17" borderId="3" xfId="0" applyFont="1" applyFill="1" applyBorder="1"/>
    <xf numFmtId="0" fontId="13" fillId="18" borderId="3" xfId="0" applyFont="1" applyFill="1" applyBorder="1"/>
    <xf numFmtId="0" fontId="12" fillId="0" borderId="0" xfId="0" applyFont="1"/>
    <xf numFmtId="0" fontId="13" fillId="0" borderId="3" xfId="0" applyFont="1" applyBorder="1" applyAlignment="1">
      <alignment vertical="top" wrapText="1"/>
    </xf>
    <xf numFmtId="0" fontId="12" fillId="16" borderId="3" xfId="0" applyFont="1" applyFill="1" applyBorder="1" applyAlignment="1">
      <alignment vertical="top" wrapText="1"/>
    </xf>
    <xf numFmtId="0" fontId="12" fillId="17" borderId="3" xfId="0" applyFont="1" applyFill="1" applyBorder="1" applyAlignment="1">
      <alignment vertical="top" wrapText="1"/>
    </xf>
    <xf numFmtId="0" fontId="12" fillId="18"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Dashboard!$A$12:$A$13</c:f>
              <c:strCache>
                <c:ptCount val="2"/>
                <c:pt idx="0">
                  <c:v>Florida</c:v>
                </c:pt>
                <c:pt idx="1">
                  <c:v>Unknown</c:v>
                </c:pt>
              </c:strCache>
            </c:strRef>
          </c:cat>
          <c:val>
            <c:numRef>
              <c:f>Dashboard!$B$12:$B$13</c:f>
              <c:numCache>
                <c:formatCode>General</c:formatCode>
                <c:ptCount val="2"/>
                <c:pt idx="0">
                  <c:v>11</c:v>
                </c:pt>
                <c:pt idx="1">
                  <c:v>2</c:v>
                </c:pt>
              </c:numCache>
            </c:numRef>
          </c:val>
          <c:extLst>
            <c:ext xmlns:c16="http://schemas.microsoft.com/office/drawing/2014/chart" uri="{C3380CC4-5D6E-409C-BE32-E72D297353CC}">
              <c16:uniqueId val="{00000000-6FC7-4261-99F7-2CD24482B68E}"/>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SELLER READINESS SCORE DISTRIBUTION</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Dashboard!$D$12:$D$15</c:f>
              <c:strCache>
                <c:ptCount val="4"/>
                <c:pt idx="0">
                  <c:v>20-40</c:v>
                </c:pt>
                <c:pt idx="1">
                  <c:v>40-60</c:v>
                </c:pt>
                <c:pt idx="2">
                  <c:v>60-80</c:v>
                </c:pt>
                <c:pt idx="3">
                  <c:v>80-100</c:v>
                </c:pt>
              </c:strCache>
            </c:strRef>
          </c:cat>
          <c:val>
            <c:numRef>
              <c:f>Dashboard!$E$12:$E$15</c:f>
              <c:numCache>
                <c:formatCode>General</c:formatCode>
                <c:ptCount val="4"/>
                <c:pt idx="0">
                  <c:v>6</c:v>
                </c:pt>
                <c:pt idx="1">
                  <c:v>1</c:v>
                </c:pt>
                <c:pt idx="2">
                  <c:v>2</c:v>
                </c:pt>
                <c:pt idx="3">
                  <c:v>1</c:v>
                </c:pt>
              </c:numCache>
            </c:numRef>
          </c:val>
          <c:extLst>
            <c:ext xmlns:c16="http://schemas.microsoft.com/office/drawing/2014/chart" uri="{C3380CC4-5D6E-409C-BE32-E72D297353CC}">
              <c16:uniqueId val="{00000000-D0F7-4C13-8EFB-DF00787F97CB}"/>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Retail</c:v>
                </c:pt>
                <c:pt idx="1">
                  <c:v>Transportation, Lo...</c:v>
                </c:pt>
                <c:pt idx="2">
                  <c:v>Medical Devices</c:v>
                </c:pt>
                <c:pt idx="3">
                  <c:v>Food</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0FEF-4B25-86E1-26C9F76D9675}"/>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10</xdr:row>
      <xdr:rowOff>0</xdr:rowOff>
    </xdr:from>
    <xdr:ext cx="252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showGridLines="0" topLeftCell="A28" zoomScale="66" zoomScaleNormal="66" workbookViewId="0">
      <selection activeCell="E35" sqref="E35"/>
    </sheetView>
  </sheetViews>
  <sheetFormatPr defaultRowHeight="14.5" x14ac:dyDescent="0.35"/>
  <cols>
    <col min="1" max="1" width="6" customWidth="1"/>
    <col min="2" max="2" width="26" customWidth="1"/>
    <col min="3" max="3" width="20" customWidth="1"/>
    <col min="4" max="5" width="14" customWidth="1"/>
    <col min="6" max="6" width="10" customWidth="1"/>
    <col min="7" max="7" width="13" customWidth="1"/>
    <col min="8" max="8" width="16" customWidth="1"/>
    <col min="9" max="9" width="12" customWidth="1"/>
    <col min="10" max="10" width="32" customWidth="1"/>
    <col min="11" max="11" width="14" customWidth="1"/>
    <col min="12" max="20" width="12" customWidth="1"/>
  </cols>
  <sheetData>
    <row r="1" spans="1:11" ht="26" customHeight="1" x14ac:dyDescent="0.35">
      <c r="A1" s="61" t="s">
        <v>0</v>
      </c>
      <c r="B1" s="41"/>
      <c r="C1" s="41"/>
      <c r="D1" s="41"/>
      <c r="E1" s="41"/>
      <c r="F1" s="41"/>
      <c r="G1" s="1"/>
      <c r="H1" s="30" t="s">
        <v>1</v>
      </c>
      <c r="I1" s="31"/>
      <c r="J1" s="2" t="s">
        <v>2</v>
      </c>
      <c r="K1" s="1"/>
    </row>
    <row r="2" spans="1:11" ht="18" customHeight="1" x14ac:dyDescent="0.35">
      <c r="A2" s="40" t="s">
        <v>3</v>
      </c>
      <c r="B2" s="41"/>
      <c r="C2" s="41"/>
      <c r="D2" s="41"/>
      <c r="E2" s="41"/>
      <c r="F2" s="41"/>
      <c r="G2" s="1"/>
      <c r="H2" s="52" t="s">
        <v>4</v>
      </c>
      <c r="I2" s="31"/>
      <c r="J2" s="60" t="s">
        <v>5</v>
      </c>
      <c r="K2" s="41"/>
    </row>
    <row r="3" spans="1:11" ht="4" customHeight="1" x14ac:dyDescent="0.35">
      <c r="A3" s="1"/>
      <c r="B3" s="1"/>
      <c r="C3" s="1"/>
      <c r="D3" s="1"/>
      <c r="E3" s="1"/>
      <c r="F3" s="1"/>
      <c r="G3" s="1"/>
      <c r="H3" s="1"/>
      <c r="I3" s="1"/>
      <c r="J3" s="1"/>
      <c r="K3" s="1"/>
    </row>
    <row r="4" spans="1:11" ht="24" customHeight="1" x14ac:dyDescent="0.35">
      <c r="A4" s="49" t="s">
        <v>6</v>
      </c>
      <c r="B4" s="46"/>
      <c r="C4" s="46"/>
      <c r="D4" s="45" t="s">
        <v>7</v>
      </c>
      <c r="E4" s="46"/>
      <c r="F4" s="46"/>
      <c r="G4" s="48" t="s">
        <v>8</v>
      </c>
      <c r="H4" s="46"/>
      <c r="I4" s="46"/>
      <c r="J4" s="51" t="s">
        <v>9</v>
      </c>
      <c r="K4" s="46"/>
    </row>
    <row r="5" spans="1:11" ht="4" customHeight="1" x14ac:dyDescent="0.35">
      <c r="A5" s="1"/>
      <c r="B5" s="1"/>
      <c r="C5" s="1"/>
      <c r="D5" s="1"/>
      <c r="E5" s="1"/>
      <c r="F5" s="1"/>
      <c r="G5" s="1"/>
      <c r="H5" s="1"/>
      <c r="I5" s="1"/>
      <c r="J5" s="1"/>
      <c r="K5" s="1"/>
    </row>
    <row r="6" spans="1:11" ht="18" customHeight="1" x14ac:dyDescent="0.35">
      <c r="A6" s="35" t="s">
        <v>10</v>
      </c>
      <c r="B6" s="36"/>
      <c r="C6" s="26" t="s">
        <v>11</v>
      </c>
      <c r="D6" s="27"/>
      <c r="E6" s="37" t="s">
        <v>12</v>
      </c>
      <c r="F6" s="34"/>
      <c r="G6" s="34"/>
      <c r="H6" s="42" t="s">
        <v>13</v>
      </c>
      <c r="I6" s="38"/>
      <c r="J6" s="44" t="s">
        <v>14</v>
      </c>
      <c r="K6" s="39"/>
    </row>
    <row r="7" spans="1:11" ht="30" customHeight="1" x14ac:dyDescent="0.35">
      <c r="A7" s="43">
        <v>13</v>
      </c>
      <c r="B7" s="36"/>
      <c r="C7" s="59">
        <v>4</v>
      </c>
      <c r="D7" s="27"/>
      <c r="E7" s="50">
        <v>1</v>
      </c>
      <c r="F7" s="34"/>
      <c r="G7" s="34"/>
      <c r="H7" s="55">
        <v>11</v>
      </c>
      <c r="I7" s="38"/>
      <c r="J7" s="56">
        <v>2</v>
      </c>
      <c r="K7" s="39"/>
    </row>
    <row r="8" spans="1:11" ht="16" customHeight="1" x14ac:dyDescent="0.35">
      <c r="A8" s="57" t="s">
        <v>15</v>
      </c>
      <c r="B8" s="36"/>
      <c r="C8" s="58" t="s">
        <v>16</v>
      </c>
      <c r="D8" s="27"/>
      <c r="E8" s="62" t="s">
        <v>17</v>
      </c>
      <c r="F8" s="34"/>
      <c r="G8" s="34"/>
      <c r="H8" s="63" t="s">
        <v>18</v>
      </c>
      <c r="I8" s="38"/>
      <c r="J8" s="64" t="s">
        <v>19</v>
      </c>
      <c r="K8" s="39"/>
    </row>
    <row r="9" spans="1:11" ht="8" customHeight="1" x14ac:dyDescent="0.35">
      <c r="A9" s="36"/>
      <c r="B9" s="36"/>
      <c r="C9" s="27"/>
      <c r="D9" s="27"/>
      <c r="E9" s="34"/>
      <c r="F9" s="34"/>
      <c r="G9" s="34"/>
      <c r="H9" s="38"/>
      <c r="I9" s="38"/>
      <c r="J9" s="39"/>
      <c r="K9" s="39"/>
    </row>
    <row r="11" spans="1:11" ht="22" customHeight="1" x14ac:dyDescent="0.35">
      <c r="A11" s="3" t="s">
        <v>20</v>
      </c>
      <c r="B11" s="3" t="s">
        <v>21</v>
      </c>
      <c r="D11" s="3" t="s">
        <v>22</v>
      </c>
      <c r="E11" s="3" t="s">
        <v>21</v>
      </c>
      <c r="G11" s="3" t="s">
        <v>23</v>
      </c>
      <c r="H11" s="54" t="s">
        <v>24</v>
      </c>
      <c r="I11" s="29"/>
      <c r="J11" s="53" t="s">
        <v>25</v>
      </c>
      <c r="K11" s="46"/>
    </row>
    <row r="12" spans="1:11" ht="16" customHeight="1" x14ac:dyDescent="0.35">
      <c r="A12" s="3" t="s">
        <v>4</v>
      </c>
      <c r="B12" s="3">
        <v>11</v>
      </c>
      <c r="D12" s="3" t="s">
        <v>26</v>
      </c>
      <c r="E12" s="3">
        <v>6</v>
      </c>
      <c r="G12" s="3" t="s">
        <v>27</v>
      </c>
      <c r="H12" s="29"/>
      <c r="I12" s="29"/>
      <c r="J12" s="32" t="s">
        <v>28</v>
      </c>
      <c r="K12" s="33"/>
    </row>
    <row r="13" spans="1:11" ht="16" customHeight="1" x14ac:dyDescent="0.35">
      <c r="A13" s="3" t="s">
        <v>29</v>
      </c>
      <c r="B13" s="3">
        <v>2</v>
      </c>
      <c r="D13" s="3" t="s">
        <v>30</v>
      </c>
      <c r="E13" s="3">
        <v>1</v>
      </c>
      <c r="G13" s="3" t="s">
        <v>31</v>
      </c>
      <c r="H13" s="29"/>
      <c r="I13" s="29"/>
      <c r="J13" s="33"/>
      <c r="K13" s="33"/>
    </row>
    <row r="14" spans="1:11" ht="16" customHeight="1" x14ac:dyDescent="0.35">
      <c r="D14" s="3" t="s">
        <v>32</v>
      </c>
      <c r="E14" s="3">
        <v>2</v>
      </c>
      <c r="G14" s="3" t="s">
        <v>33</v>
      </c>
      <c r="H14" s="3">
        <v>1</v>
      </c>
      <c r="J14" s="32" t="s">
        <v>34</v>
      </c>
      <c r="K14" s="33"/>
    </row>
    <row r="15" spans="1:11" ht="16" customHeight="1" x14ac:dyDescent="0.35">
      <c r="D15" s="3" t="s">
        <v>35</v>
      </c>
      <c r="E15" s="3">
        <v>1</v>
      </c>
      <c r="G15" s="3" t="s">
        <v>36</v>
      </c>
      <c r="H15" s="28" t="s">
        <v>37</v>
      </c>
      <c r="I15" s="29"/>
      <c r="J15" s="33"/>
      <c r="K15" s="33"/>
    </row>
    <row r="16" spans="1:11" ht="16" customHeight="1" x14ac:dyDescent="0.35">
      <c r="H16" s="29"/>
      <c r="I16" s="29"/>
      <c r="J16" s="32" t="s">
        <v>38</v>
      </c>
      <c r="K16" s="33"/>
    </row>
    <row r="17" spans="1:11" ht="16" customHeight="1" x14ac:dyDescent="0.35">
      <c r="H17" s="29"/>
      <c r="I17" s="29"/>
      <c r="J17" s="33"/>
      <c r="K17" s="33"/>
    </row>
    <row r="18" spans="1:11" ht="16" customHeight="1" x14ac:dyDescent="0.35">
      <c r="J18" s="32" t="s">
        <v>39</v>
      </c>
      <c r="K18" s="33"/>
    </row>
    <row r="19" spans="1:11" ht="16" customHeight="1" x14ac:dyDescent="0.35">
      <c r="H19" s="47" t="s">
        <v>40</v>
      </c>
      <c r="I19" s="29"/>
      <c r="J19" s="33"/>
      <c r="K19" s="33"/>
    </row>
    <row r="20" spans="1:11" ht="16" customHeight="1" x14ac:dyDescent="0.35">
      <c r="H20" s="29"/>
      <c r="I20" s="29"/>
      <c r="J20" s="32" t="s">
        <v>41</v>
      </c>
      <c r="K20" s="33"/>
    </row>
    <row r="21" spans="1:11" ht="16" customHeight="1" x14ac:dyDescent="0.35">
      <c r="H21" s="29"/>
      <c r="I21" s="29"/>
      <c r="J21" s="33"/>
      <c r="K21" s="33"/>
    </row>
    <row r="22" spans="1:11" ht="16" customHeight="1" x14ac:dyDescent="0.35">
      <c r="H22" s="29"/>
      <c r="I22" s="29"/>
      <c r="J22" s="33"/>
      <c r="K22" s="33"/>
    </row>
    <row r="25" spans="1:11" ht="26" customHeight="1" x14ac:dyDescent="0.35">
      <c r="A25" s="4" t="s">
        <v>42</v>
      </c>
      <c r="B25" s="4" t="s">
        <v>43</v>
      </c>
      <c r="C25" s="4" t="s">
        <v>44</v>
      </c>
      <c r="D25" s="4" t="s">
        <v>45</v>
      </c>
      <c r="E25" s="4" t="s">
        <v>46</v>
      </c>
      <c r="F25" s="4" t="s">
        <v>20</v>
      </c>
      <c r="G25" s="4" t="s">
        <v>47</v>
      </c>
      <c r="H25" s="4" t="s">
        <v>48</v>
      </c>
      <c r="I25" s="4" t="s">
        <v>49</v>
      </c>
      <c r="J25" s="4" t="s">
        <v>50</v>
      </c>
      <c r="K25" s="4" t="s">
        <v>51</v>
      </c>
    </row>
    <row r="26" spans="1:11" ht="39" x14ac:dyDescent="0.35">
      <c r="A26" s="5">
        <v>1</v>
      </c>
      <c r="B26" s="6" t="s">
        <v>52</v>
      </c>
      <c r="C26" s="6" t="s">
        <v>53</v>
      </c>
      <c r="D26" s="7" t="s">
        <v>29</v>
      </c>
      <c r="E26" s="8">
        <v>80</v>
      </c>
      <c r="F26" s="7" t="s">
        <v>29</v>
      </c>
      <c r="G26" s="9">
        <v>85</v>
      </c>
      <c r="H26" s="7" t="s">
        <v>54</v>
      </c>
      <c r="I26" s="10" t="s">
        <v>55</v>
      </c>
      <c r="J26" s="6" t="s">
        <v>56</v>
      </c>
      <c r="K26" s="7" t="s">
        <v>57</v>
      </c>
    </row>
    <row r="27" spans="1:11" ht="39" x14ac:dyDescent="0.35">
      <c r="A27" s="5">
        <v>2</v>
      </c>
      <c r="B27" s="6" t="s">
        <v>58</v>
      </c>
      <c r="C27" s="6" t="s">
        <v>59</v>
      </c>
      <c r="D27" s="7" t="s">
        <v>29</v>
      </c>
      <c r="E27" s="8">
        <v>33</v>
      </c>
      <c r="F27" s="7" t="s">
        <v>60</v>
      </c>
      <c r="G27" s="11">
        <v>65</v>
      </c>
      <c r="H27" s="7" t="s">
        <v>61</v>
      </c>
      <c r="I27" s="10" t="s">
        <v>55</v>
      </c>
      <c r="J27" s="6" t="s">
        <v>62</v>
      </c>
      <c r="K27" s="7" t="s">
        <v>63</v>
      </c>
    </row>
    <row r="28" spans="1:11" ht="39" x14ac:dyDescent="0.35">
      <c r="A28" s="5">
        <v>3</v>
      </c>
      <c r="B28" s="6" t="s">
        <v>64</v>
      </c>
      <c r="C28" s="6" t="s">
        <v>65</v>
      </c>
      <c r="D28" s="7" t="s">
        <v>29</v>
      </c>
      <c r="E28" s="8">
        <v>46</v>
      </c>
      <c r="F28" s="7" t="s">
        <v>4</v>
      </c>
      <c r="G28" s="11">
        <v>60</v>
      </c>
      <c r="H28" s="7"/>
      <c r="I28" s="12" t="s">
        <v>66</v>
      </c>
      <c r="J28" s="6" t="s">
        <v>67</v>
      </c>
      <c r="K28" s="7"/>
    </row>
    <row r="29" spans="1:11" ht="52" x14ac:dyDescent="0.35">
      <c r="A29" s="5">
        <v>4</v>
      </c>
      <c r="B29" s="6" t="s">
        <v>68</v>
      </c>
      <c r="C29" s="6" t="s">
        <v>69</v>
      </c>
      <c r="D29" s="7" t="s">
        <v>29</v>
      </c>
      <c r="E29" s="8">
        <v>28</v>
      </c>
      <c r="F29" s="7" t="s">
        <v>4</v>
      </c>
      <c r="G29" s="11">
        <v>45</v>
      </c>
      <c r="H29" s="7"/>
      <c r="I29" s="13" t="s">
        <v>70</v>
      </c>
      <c r="J29" s="6" t="s">
        <v>71</v>
      </c>
      <c r="K29" s="7"/>
    </row>
    <row r="30" spans="1:11" ht="39" x14ac:dyDescent="0.35">
      <c r="A30" s="5">
        <v>5</v>
      </c>
      <c r="B30" s="6" t="s">
        <v>72</v>
      </c>
      <c r="C30" s="6" t="s">
        <v>73</v>
      </c>
      <c r="D30" s="7" t="s">
        <v>29</v>
      </c>
      <c r="E30" s="8">
        <v>18</v>
      </c>
      <c r="F30" s="7" t="s">
        <v>60</v>
      </c>
      <c r="G30" s="14">
        <v>35</v>
      </c>
      <c r="H30" s="7" t="s">
        <v>61</v>
      </c>
      <c r="I30" s="10" t="s">
        <v>55</v>
      </c>
      <c r="J30" s="6" t="s">
        <v>74</v>
      </c>
      <c r="K30" s="7" t="s">
        <v>75</v>
      </c>
    </row>
    <row r="31" spans="1:11" ht="26" x14ac:dyDescent="0.35">
      <c r="A31" s="5">
        <v>6</v>
      </c>
      <c r="B31" s="6" t="s">
        <v>76</v>
      </c>
      <c r="C31" s="6" t="s">
        <v>77</v>
      </c>
      <c r="D31" s="7" t="s">
        <v>29</v>
      </c>
      <c r="E31" s="8">
        <v>99</v>
      </c>
      <c r="F31" s="7" t="s">
        <v>4</v>
      </c>
      <c r="G31" s="14">
        <v>35</v>
      </c>
      <c r="H31" s="7"/>
      <c r="I31" s="10" t="s">
        <v>55</v>
      </c>
      <c r="J31" s="6" t="s">
        <v>78</v>
      </c>
      <c r="K31" s="7"/>
    </row>
    <row r="32" spans="1:11" ht="39" x14ac:dyDescent="0.35">
      <c r="A32" s="5">
        <v>7</v>
      </c>
      <c r="B32" s="6" t="s">
        <v>79</v>
      </c>
      <c r="C32" s="6" t="s">
        <v>80</v>
      </c>
      <c r="D32" s="7" t="s">
        <v>29</v>
      </c>
      <c r="E32" s="8">
        <v>46</v>
      </c>
      <c r="F32" s="7" t="s">
        <v>60</v>
      </c>
      <c r="G32" s="14">
        <v>35</v>
      </c>
      <c r="H32" s="7"/>
      <c r="I32" s="10" t="s">
        <v>55</v>
      </c>
      <c r="J32" s="6" t="s">
        <v>81</v>
      </c>
      <c r="K32" s="7"/>
    </row>
    <row r="33" spans="1:11" ht="26" x14ac:dyDescent="0.35">
      <c r="A33" s="5">
        <v>8</v>
      </c>
      <c r="B33" s="6" t="s">
        <v>82</v>
      </c>
      <c r="C33" s="6" t="s">
        <v>83</v>
      </c>
      <c r="D33" s="7" t="s">
        <v>29</v>
      </c>
      <c r="E33" s="8">
        <v>99</v>
      </c>
      <c r="F33" s="7" t="s">
        <v>60</v>
      </c>
      <c r="G33" s="14">
        <v>35</v>
      </c>
      <c r="H33" s="7" t="s">
        <v>29</v>
      </c>
      <c r="I33" s="10" t="s">
        <v>55</v>
      </c>
      <c r="J33" s="6" t="s">
        <v>84</v>
      </c>
      <c r="K33" s="7" t="s">
        <v>29</v>
      </c>
    </row>
    <row r="34" spans="1:11" ht="39" x14ac:dyDescent="0.35">
      <c r="A34" s="5">
        <v>9</v>
      </c>
      <c r="B34" s="6" t="s">
        <v>85</v>
      </c>
      <c r="C34" s="6" t="s">
        <v>86</v>
      </c>
      <c r="D34" s="7" t="s">
        <v>29</v>
      </c>
      <c r="E34" s="8">
        <v>3</v>
      </c>
      <c r="F34" s="7" t="s">
        <v>4</v>
      </c>
      <c r="G34" s="14">
        <v>25</v>
      </c>
      <c r="H34" s="7"/>
      <c r="I34" s="10" t="s">
        <v>55</v>
      </c>
      <c r="J34" s="6" t="s">
        <v>87</v>
      </c>
      <c r="K34" s="7"/>
    </row>
    <row r="35" spans="1:11" ht="39" x14ac:dyDescent="0.35">
      <c r="A35" s="5">
        <v>10</v>
      </c>
      <c r="B35" s="6" t="s">
        <v>85</v>
      </c>
      <c r="C35" s="6" t="s">
        <v>29</v>
      </c>
      <c r="D35" s="7" t="s">
        <v>29</v>
      </c>
      <c r="E35" s="8">
        <v>0</v>
      </c>
      <c r="F35" s="7" t="s">
        <v>29</v>
      </c>
      <c r="G35" s="14">
        <v>25</v>
      </c>
      <c r="H35" s="7"/>
      <c r="I35" s="10" t="s">
        <v>55</v>
      </c>
      <c r="J35" s="6" t="s">
        <v>88</v>
      </c>
      <c r="K35" s="7"/>
    </row>
    <row r="36" spans="1:11" ht="26" x14ac:dyDescent="0.35">
      <c r="A36" s="5">
        <v>11</v>
      </c>
      <c r="B36" s="6" t="s">
        <v>89</v>
      </c>
      <c r="C36" s="6" t="s">
        <v>90</v>
      </c>
      <c r="D36" s="7" t="s">
        <v>29</v>
      </c>
      <c r="E36" s="8">
        <v>10</v>
      </c>
      <c r="F36" s="7" t="s">
        <v>4</v>
      </c>
      <c r="G36" s="14">
        <v>10</v>
      </c>
      <c r="H36" s="7"/>
      <c r="I36" s="10" t="s">
        <v>55</v>
      </c>
      <c r="J36" s="6" t="s">
        <v>91</v>
      </c>
      <c r="K36" s="7"/>
    </row>
    <row r="37" spans="1:11" ht="26" x14ac:dyDescent="0.35">
      <c r="A37" s="5">
        <v>12</v>
      </c>
      <c r="B37" s="6" t="s">
        <v>92</v>
      </c>
      <c r="C37" s="6" t="s">
        <v>93</v>
      </c>
      <c r="D37" s="7" t="s">
        <v>29</v>
      </c>
      <c r="E37" s="8">
        <v>9</v>
      </c>
      <c r="F37" s="7" t="s">
        <v>4</v>
      </c>
      <c r="G37" s="14">
        <v>0</v>
      </c>
      <c r="H37" s="7"/>
      <c r="I37" s="10" t="s">
        <v>55</v>
      </c>
      <c r="J37" s="6" t="s">
        <v>94</v>
      </c>
      <c r="K37" s="7"/>
    </row>
    <row r="38" spans="1:11" ht="26" x14ac:dyDescent="0.35">
      <c r="A38" s="5">
        <v>13</v>
      </c>
      <c r="B38" s="6" t="s">
        <v>95</v>
      </c>
      <c r="C38" s="6" t="s">
        <v>29</v>
      </c>
      <c r="D38" s="7" t="s">
        <v>29</v>
      </c>
      <c r="E38" s="8">
        <v>6</v>
      </c>
      <c r="F38" s="7" t="s">
        <v>4</v>
      </c>
      <c r="G38" s="14">
        <v>0</v>
      </c>
      <c r="H38" s="7"/>
      <c r="I38" s="10" t="s">
        <v>55</v>
      </c>
      <c r="J38" s="6" t="s">
        <v>96</v>
      </c>
      <c r="K38" s="7"/>
    </row>
  </sheetData>
  <autoFilter ref="A25:K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workbookViewId="0">
      <pane ySplit="1" topLeftCell="A2" activePane="bottomLeft" state="frozen"/>
      <selection pane="bottomLeft"/>
    </sheetView>
  </sheetViews>
  <sheetFormatPr defaultRowHeight="14.5" x14ac:dyDescent="0.35"/>
  <cols>
    <col min="1" max="1" width="28" customWidth="1"/>
    <col min="2" max="2" width="12" customWidth="1"/>
    <col min="3" max="3" width="18" customWidth="1"/>
    <col min="4" max="4" width="14" customWidth="1"/>
    <col min="5" max="5" width="12" customWidth="1"/>
    <col min="6" max="6" width="14" customWidth="1"/>
    <col min="7" max="7" width="20" customWidth="1"/>
    <col min="8" max="9" width="12" customWidth="1"/>
    <col min="10" max="10" width="14" customWidth="1"/>
    <col min="11" max="11" width="16" customWidth="1"/>
    <col min="12" max="14" width="14" customWidth="1"/>
  </cols>
  <sheetData>
    <row r="1" spans="1:14" ht="26.5" x14ac:dyDescent="0.35">
      <c r="A1" s="15" t="s">
        <v>43</v>
      </c>
      <c r="B1" s="15" t="s">
        <v>20</v>
      </c>
      <c r="C1" s="15" t="s">
        <v>23</v>
      </c>
      <c r="D1" s="15" t="s">
        <v>97</v>
      </c>
      <c r="E1" s="15" t="s">
        <v>98</v>
      </c>
      <c r="F1" s="15" t="s">
        <v>46</v>
      </c>
      <c r="G1" s="15" t="s">
        <v>44</v>
      </c>
      <c r="H1" s="15" t="s">
        <v>99</v>
      </c>
      <c r="I1" s="15" t="s">
        <v>54</v>
      </c>
      <c r="J1" s="15" t="s">
        <v>100</v>
      </c>
      <c r="K1" s="15" t="s">
        <v>101</v>
      </c>
      <c r="L1" s="15" t="s">
        <v>102</v>
      </c>
      <c r="M1" s="15" t="s">
        <v>103</v>
      </c>
      <c r="N1" s="15" t="s">
        <v>104</v>
      </c>
    </row>
    <row r="2" spans="1:14" x14ac:dyDescent="0.35">
      <c r="A2" s="16" t="s">
        <v>52</v>
      </c>
      <c r="B2" s="16" t="s">
        <v>29</v>
      </c>
      <c r="C2" s="16" t="s">
        <v>27</v>
      </c>
      <c r="D2" s="16" t="s">
        <v>105</v>
      </c>
      <c r="E2" s="16" t="s">
        <v>106</v>
      </c>
      <c r="F2" s="16">
        <v>80</v>
      </c>
      <c r="G2" s="16" t="s">
        <v>53</v>
      </c>
      <c r="H2" s="16" t="s">
        <v>107</v>
      </c>
      <c r="I2" s="16" t="s">
        <v>108</v>
      </c>
      <c r="J2" s="16" t="s">
        <v>29</v>
      </c>
      <c r="K2" s="17">
        <v>85</v>
      </c>
      <c r="L2" s="16" t="s">
        <v>55</v>
      </c>
      <c r="M2" s="18">
        <v>46196</v>
      </c>
      <c r="N2" s="18">
        <v>46196</v>
      </c>
    </row>
    <row r="3" spans="1:14" x14ac:dyDescent="0.35">
      <c r="A3" s="16" t="s">
        <v>58</v>
      </c>
      <c r="B3" s="16" t="s">
        <v>60</v>
      </c>
      <c r="C3" s="16" t="s">
        <v>109</v>
      </c>
      <c r="D3" s="16" t="s">
        <v>105</v>
      </c>
      <c r="E3" s="16" t="s">
        <v>110</v>
      </c>
      <c r="F3" s="16">
        <v>33</v>
      </c>
      <c r="G3" s="16" t="s">
        <v>59</v>
      </c>
      <c r="H3" s="16" t="s">
        <v>108</v>
      </c>
      <c r="I3" s="16" t="s">
        <v>29</v>
      </c>
      <c r="J3" s="16" t="s">
        <v>29</v>
      </c>
      <c r="K3" s="19">
        <v>65</v>
      </c>
      <c r="L3" s="16" t="s">
        <v>55</v>
      </c>
      <c r="M3" s="18">
        <v>46196</v>
      </c>
      <c r="N3" s="18">
        <v>46196</v>
      </c>
    </row>
    <row r="4" spans="1:14" x14ac:dyDescent="0.35">
      <c r="A4" s="16" t="s">
        <v>64</v>
      </c>
      <c r="B4" s="16" t="s">
        <v>4</v>
      </c>
      <c r="C4" s="16" t="s">
        <v>33</v>
      </c>
      <c r="D4" s="16" t="s">
        <v>105</v>
      </c>
      <c r="E4" s="16" t="s">
        <v>111</v>
      </c>
      <c r="F4" s="16">
        <v>46</v>
      </c>
      <c r="G4" s="16" t="s">
        <v>65</v>
      </c>
      <c r="H4" s="16" t="s">
        <v>108</v>
      </c>
      <c r="I4" s="16" t="s">
        <v>108</v>
      </c>
      <c r="J4" s="16" t="s">
        <v>29</v>
      </c>
      <c r="K4" s="19">
        <v>60</v>
      </c>
      <c r="L4" s="16" t="s">
        <v>66</v>
      </c>
      <c r="M4" s="18">
        <v>46195</v>
      </c>
      <c r="N4" s="18">
        <v>46195</v>
      </c>
    </row>
    <row r="5" spans="1:14" x14ac:dyDescent="0.35">
      <c r="A5" s="16" t="s">
        <v>68</v>
      </c>
      <c r="B5" s="16" t="s">
        <v>4</v>
      </c>
      <c r="C5" s="16" t="s">
        <v>36</v>
      </c>
      <c r="D5" s="16" t="s">
        <v>105</v>
      </c>
      <c r="E5" s="16" t="s">
        <v>112</v>
      </c>
      <c r="F5" s="16">
        <v>28</v>
      </c>
      <c r="G5" s="16" t="s">
        <v>69</v>
      </c>
      <c r="H5" s="16" t="s">
        <v>29</v>
      </c>
      <c r="I5" s="16" t="s">
        <v>108</v>
      </c>
      <c r="J5" s="16" t="s">
        <v>29</v>
      </c>
      <c r="K5" s="19">
        <v>45</v>
      </c>
      <c r="L5" s="16" t="s">
        <v>70</v>
      </c>
      <c r="M5" s="18">
        <v>46195</v>
      </c>
      <c r="N5" s="18">
        <v>46195</v>
      </c>
    </row>
    <row r="6" spans="1:14" x14ac:dyDescent="0.35">
      <c r="A6" s="16" t="s">
        <v>72</v>
      </c>
      <c r="B6" s="16" t="s">
        <v>60</v>
      </c>
      <c r="C6" s="16" t="s">
        <v>113</v>
      </c>
      <c r="D6" s="16" t="s">
        <v>105</v>
      </c>
      <c r="E6" s="16" t="s">
        <v>114</v>
      </c>
      <c r="F6" s="16">
        <v>18</v>
      </c>
      <c r="G6" s="16" t="s">
        <v>73</v>
      </c>
      <c r="H6" s="16" t="s">
        <v>108</v>
      </c>
      <c r="I6" s="16" t="s">
        <v>29</v>
      </c>
      <c r="J6" s="16" t="s">
        <v>29</v>
      </c>
      <c r="K6" s="20">
        <v>35</v>
      </c>
      <c r="L6" s="16" t="s">
        <v>55</v>
      </c>
      <c r="M6" s="18">
        <v>46196</v>
      </c>
      <c r="N6" s="18">
        <v>46196</v>
      </c>
    </row>
    <row r="7" spans="1:14" x14ac:dyDescent="0.35">
      <c r="A7" s="16" t="s">
        <v>76</v>
      </c>
      <c r="B7" s="16" t="s">
        <v>4</v>
      </c>
      <c r="C7" s="16" t="s">
        <v>115</v>
      </c>
      <c r="D7" s="16" t="s">
        <v>29</v>
      </c>
      <c r="E7" s="16" t="s">
        <v>116</v>
      </c>
      <c r="F7" s="16">
        <v>99</v>
      </c>
      <c r="G7" s="16" t="s">
        <v>77</v>
      </c>
      <c r="H7" s="16" t="s">
        <v>107</v>
      </c>
      <c r="I7" s="16" t="s">
        <v>29</v>
      </c>
      <c r="J7" s="16" t="s">
        <v>29</v>
      </c>
      <c r="K7" s="20">
        <v>35</v>
      </c>
      <c r="L7" s="16" t="s">
        <v>55</v>
      </c>
      <c r="M7" s="18">
        <v>46194</v>
      </c>
      <c r="N7" s="18">
        <v>46194</v>
      </c>
    </row>
    <row r="8" spans="1:14" x14ac:dyDescent="0.35">
      <c r="A8" s="16" t="s">
        <v>79</v>
      </c>
      <c r="B8" s="16" t="s">
        <v>60</v>
      </c>
      <c r="C8" s="16" t="s">
        <v>117</v>
      </c>
      <c r="D8" s="16" t="s">
        <v>105</v>
      </c>
      <c r="E8" s="16" t="s">
        <v>111</v>
      </c>
      <c r="F8" s="16">
        <v>46</v>
      </c>
      <c r="G8" s="16" t="s">
        <v>80</v>
      </c>
      <c r="H8" s="16" t="s">
        <v>108</v>
      </c>
      <c r="I8" s="16" t="s">
        <v>29</v>
      </c>
      <c r="J8" s="16" t="s">
        <v>29</v>
      </c>
      <c r="K8" s="20">
        <v>35</v>
      </c>
      <c r="L8" s="16" t="s">
        <v>55</v>
      </c>
      <c r="M8" s="18">
        <v>46194</v>
      </c>
      <c r="N8" s="18">
        <v>46194</v>
      </c>
    </row>
    <row r="9" spans="1:14" x14ac:dyDescent="0.35">
      <c r="A9" s="16" t="s">
        <v>82</v>
      </c>
      <c r="B9" s="16" t="s">
        <v>60</v>
      </c>
      <c r="C9" s="16" t="s">
        <v>118</v>
      </c>
      <c r="D9" s="16" t="s">
        <v>29</v>
      </c>
      <c r="E9" s="16" t="s">
        <v>116</v>
      </c>
      <c r="F9" s="16">
        <v>99</v>
      </c>
      <c r="G9" s="16" t="s">
        <v>83</v>
      </c>
      <c r="H9" s="16" t="s">
        <v>107</v>
      </c>
      <c r="I9" s="16" t="s">
        <v>29</v>
      </c>
      <c r="J9" s="16" t="s">
        <v>29</v>
      </c>
      <c r="K9" s="20">
        <v>35</v>
      </c>
      <c r="L9" s="16" t="s">
        <v>55</v>
      </c>
      <c r="M9" s="18">
        <v>46196</v>
      </c>
      <c r="N9" s="18">
        <v>46196</v>
      </c>
    </row>
    <row r="10" spans="1:14" x14ac:dyDescent="0.35">
      <c r="A10" s="16" t="s">
        <v>85</v>
      </c>
      <c r="B10" s="16" t="s">
        <v>4</v>
      </c>
      <c r="C10" s="16" t="s">
        <v>119</v>
      </c>
      <c r="D10" s="16" t="s">
        <v>105</v>
      </c>
      <c r="E10" s="16" t="s">
        <v>120</v>
      </c>
      <c r="F10" s="16">
        <v>3</v>
      </c>
      <c r="G10" s="16" t="s">
        <v>86</v>
      </c>
      <c r="H10" s="16" t="s">
        <v>108</v>
      </c>
      <c r="I10" s="16" t="s">
        <v>108</v>
      </c>
      <c r="J10" s="16" t="s">
        <v>29</v>
      </c>
      <c r="K10" s="20">
        <v>25</v>
      </c>
      <c r="L10" s="16" t="s">
        <v>55</v>
      </c>
      <c r="M10" s="18">
        <v>46194</v>
      </c>
      <c r="N10" s="18">
        <v>46194</v>
      </c>
    </row>
    <row r="11" spans="1:14" x14ac:dyDescent="0.35">
      <c r="A11" s="16" t="s">
        <v>85</v>
      </c>
      <c r="B11" s="16" t="s">
        <v>29</v>
      </c>
      <c r="C11" s="16" t="s">
        <v>121</v>
      </c>
      <c r="D11" s="16" t="s">
        <v>105</v>
      </c>
      <c r="E11" s="16" t="s">
        <v>29</v>
      </c>
      <c r="F11" s="16">
        <v>0</v>
      </c>
      <c r="G11" s="16" t="s">
        <v>29</v>
      </c>
      <c r="H11" s="16" t="s">
        <v>29</v>
      </c>
      <c r="I11" s="16" t="s">
        <v>108</v>
      </c>
      <c r="J11" s="16" t="s">
        <v>29</v>
      </c>
      <c r="K11" s="20">
        <v>25</v>
      </c>
      <c r="L11" s="16" t="s">
        <v>55</v>
      </c>
      <c r="M11" s="18">
        <v>46194</v>
      </c>
      <c r="N11" s="18">
        <v>46194</v>
      </c>
    </row>
    <row r="12" spans="1:14" x14ac:dyDescent="0.35">
      <c r="A12" s="16" t="s">
        <v>89</v>
      </c>
      <c r="B12" s="16" t="s">
        <v>4</v>
      </c>
      <c r="C12" s="16" t="s">
        <v>122</v>
      </c>
      <c r="D12" s="16" t="s">
        <v>29</v>
      </c>
      <c r="E12" s="16" t="s">
        <v>123</v>
      </c>
      <c r="F12" s="16">
        <v>10</v>
      </c>
      <c r="G12" s="16" t="s">
        <v>90</v>
      </c>
      <c r="H12" s="16" t="s">
        <v>108</v>
      </c>
      <c r="I12" s="16" t="s">
        <v>29</v>
      </c>
      <c r="J12" s="16" t="s">
        <v>29</v>
      </c>
      <c r="K12" s="20">
        <v>10</v>
      </c>
      <c r="L12" s="16" t="s">
        <v>55</v>
      </c>
      <c r="M12" s="18">
        <v>46194</v>
      </c>
      <c r="N12" s="18">
        <v>46194</v>
      </c>
    </row>
    <row r="13" spans="1:14" x14ac:dyDescent="0.35">
      <c r="A13" s="16" t="s">
        <v>92</v>
      </c>
      <c r="B13" s="16" t="s">
        <v>4</v>
      </c>
      <c r="C13" s="16" t="s">
        <v>124</v>
      </c>
      <c r="D13" s="16" t="s">
        <v>105</v>
      </c>
      <c r="E13" s="16" t="s">
        <v>125</v>
      </c>
      <c r="F13" s="16">
        <v>9</v>
      </c>
      <c r="G13" s="16" t="s">
        <v>93</v>
      </c>
      <c r="H13" s="16" t="s">
        <v>108</v>
      </c>
      <c r="I13" s="16" t="s">
        <v>29</v>
      </c>
      <c r="J13" s="16" t="s">
        <v>29</v>
      </c>
      <c r="K13" s="20">
        <v>0</v>
      </c>
      <c r="L13" s="16" t="s">
        <v>55</v>
      </c>
      <c r="M13" s="18">
        <v>46194</v>
      </c>
      <c r="N13" s="18">
        <v>46194</v>
      </c>
    </row>
    <row r="14" spans="1:14" x14ac:dyDescent="0.35">
      <c r="A14" s="16" t="s">
        <v>95</v>
      </c>
      <c r="B14" s="16" t="s">
        <v>4</v>
      </c>
      <c r="C14" s="16" t="s">
        <v>126</v>
      </c>
      <c r="D14" s="16" t="s">
        <v>29</v>
      </c>
      <c r="E14" s="16" t="s">
        <v>127</v>
      </c>
      <c r="F14" s="16">
        <v>6</v>
      </c>
      <c r="G14" s="16" t="s">
        <v>29</v>
      </c>
      <c r="H14" s="16" t="s">
        <v>29</v>
      </c>
      <c r="I14" s="16" t="s">
        <v>29</v>
      </c>
      <c r="J14" s="16" t="s">
        <v>29</v>
      </c>
      <c r="K14" s="20">
        <v>0</v>
      </c>
      <c r="L14" s="16" t="s">
        <v>55</v>
      </c>
      <c r="M14" s="18">
        <v>46194</v>
      </c>
      <c r="N14" s="18">
        <v>46194</v>
      </c>
    </row>
  </sheetData>
  <autoFilter ref="A1:N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tabSelected="1" topLeftCell="E1" workbookViewId="0">
      <pane ySplit="1" topLeftCell="A9" activePane="bottomLeft" state="frozen"/>
      <selection pane="bottomLeft"/>
    </sheetView>
  </sheetViews>
  <sheetFormatPr defaultRowHeight="14.5" x14ac:dyDescent="0.35"/>
  <cols>
    <col min="1" max="1" width="6" customWidth="1"/>
    <col min="2" max="2" width="26" customWidth="1"/>
    <col min="3" max="4" width="10" customWidth="1"/>
    <col min="5" max="6" width="55" customWidth="1"/>
    <col min="7" max="7" width="45" customWidth="1"/>
    <col min="8" max="8" width="14" customWidth="1"/>
    <col min="9" max="9" width="35" customWidth="1"/>
    <col min="10" max="10" width="0" hidden="1"/>
  </cols>
  <sheetData>
    <row r="1" spans="1:10" ht="26.5" x14ac:dyDescent="0.35">
      <c r="A1" s="15" t="s">
        <v>42</v>
      </c>
      <c r="B1" s="15" t="s">
        <v>43</v>
      </c>
      <c r="C1" s="15" t="s">
        <v>128</v>
      </c>
      <c r="D1" s="15" t="s">
        <v>20</v>
      </c>
      <c r="E1" s="15" t="s">
        <v>50</v>
      </c>
      <c r="F1" s="15" t="s">
        <v>129</v>
      </c>
      <c r="G1" s="15" t="s">
        <v>130</v>
      </c>
      <c r="H1" s="15" t="s">
        <v>131</v>
      </c>
      <c r="I1" s="15" t="s">
        <v>132</v>
      </c>
      <c r="J1" s="15" t="s">
        <v>133</v>
      </c>
    </row>
    <row r="2" spans="1:10" ht="90" customHeight="1" x14ac:dyDescent="0.35">
      <c r="A2" s="21">
        <v>1</v>
      </c>
      <c r="B2" s="22" t="s">
        <v>52</v>
      </c>
      <c r="C2" s="23">
        <v>85</v>
      </c>
      <c r="D2" s="22" t="s">
        <v>29</v>
      </c>
      <c r="E2" s="22" t="s">
        <v>134</v>
      </c>
      <c r="F2" s="22" t="s">
        <v>135</v>
      </c>
      <c r="G2" s="22" t="s">
        <v>56</v>
      </c>
      <c r="H2" s="22" t="s">
        <v>55</v>
      </c>
      <c r="I2" s="22"/>
      <c r="J2" s="22">
        <v>12</v>
      </c>
    </row>
    <row r="3" spans="1:10" ht="90" customHeight="1" x14ac:dyDescent="0.35">
      <c r="A3" s="21">
        <v>2</v>
      </c>
      <c r="B3" s="22" t="s">
        <v>58</v>
      </c>
      <c r="C3" s="24">
        <v>65</v>
      </c>
      <c r="D3" s="22" t="s">
        <v>60</v>
      </c>
      <c r="E3" s="22" t="s">
        <v>136</v>
      </c>
      <c r="F3" s="22" t="s">
        <v>137</v>
      </c>
      <c r="G3" s="22" t="s">
        <v>62</v>
      </c>
      <c r="H3" s="22" t="s">
        <v>55</v>
      </c>
      <c r="I3" s="22"/>
      <c r="J3" s="22">
        <v>11</v>
      </c>
    </row>
    <row r="4" spans="1:10" ht="90" customHeight="1" x14ac:dyDescent="0.35">
      <c r="A4" s="21">
        <v>3</v>
      </c>
      <c r="B4" s="22" t="s">
        <v>64</v>
      </c>
      <c r="C4" s="24">
        <v>60</v>
      </c>
      <c r="D4" s="22" t="s">
        <v>4</v>
      </c>
      <c r="E4" s="22" t="s">
        <v>138</v>
      </c>
      <c r="F4" s="22" t="s">
        <v>139</v>
      </c>
      <c r="G4" s="22" t="s">
        <v>67</v>
      </c>
      <c r="H4" s="22" t="s">
        <v>66</v>
      </c>
      <c r="I4" s="22"/>
      <c r="J4" s="22">
        <v>9</v>
      </c>
    </row>
    <row r="5" spans="1:10" ht="90" customHeight="1" x14ac:dyDescent="0.35">
      <c r="A5" s="21">
        <v>4</v>
      </c>
      <c r="B5" s="22" t="s">
        <v>68</v>
      </c>
      <c r="C5" s="24">
        <v>45</v>
      </c>
      <c r="D5" s="22" t="s">
        <v>4</v>
      </c>
      <c r="E5" s="22" t="s">
        <v>140</v>
      </c>
      <c r="F5" s="22" t="s">
        <v>141</v>
      </c>
      <c r="G5" s="22" t="s">
        <v>71</v>
      </c>
      <c r="H5" s="22" t="s">
        <v>70</v>
      </c>
      <c r="I5" s="22"/>
      <c r="J5" s="22">
        <v>8</v>
      </c>
    </row>
    <row r="6" spans="1:10" ht="90" customHeight="1" x14ac:dyDescent="0.35">
      <c r="A6" s="21">
        <v>5</v>
      </c>
      <c r="B6" s="22" t="s">
        <v>72</v>
      </c>
      <c r="C6" s="25">
        <v>35</v>
      </c>
      <c r="D6" s="22" t="s">
        <v>60</v>
      </c>
      <c r="E6" s="22" t="s">
        <v>142</v>
      </c>
      <c r="F6" s="22" t="s">
        <v>143</v>
      </c>
      <c r="G6" s="22" t="s">
        <v>74</v>
      </c>
      <c r="H6" s="22" t="s">
        <v>55</v>
      </c>
      <c r="I6" s="22"/>
      <c r="J6" s="22">
        <v>13</v>
      </c>
    </row>
    <row r="7" spans="1:10" ht="90" customHeight="1" x14ac:dyDescent="0.35">
      <c r="A7" s="21">
        <v>6</v>
      </c>
      <c r="B7" s="22" t="s">
        <v>76</v>
      </c>
      <c r="C7" s="25">
        <v>35</v>
      </c>
      <c r="D7" s="22" t="s">
        <v>4</v>
      </c>
      <c r="E7" s="22" t="s">
        <v>144</v>
      </c>
      <c r="F7" s="22" t="s">
        <v>145</v>
      </c>
      <c r="G7" s="22" t="s">
        <v>78</v>
      </c>
      <c r="H7" s="22" t="s">
        <v>55</v>
      </c>
      <c r="I7" s="22"/>
      <c r="J7" s="22">
        <v>6</v>
      </c>
    </row>
    <row r="8" spans="1:10" ht="90" customHeight="1" x14ac:dyDescent="0.35">
      <c r="A8" s="21">
        <v>7</v>
      </c>
      <c r="B8" s="22" t="s">
        <v>79</v>
      </c>
      <c r="C8" s="25">
        <v>35</v>
      </c>
      <c r="D8" s="22" t="s">
        <v>60</v>
      </c>
      <c r="E8" s="22" t="s">
        <v>146</v>
      </c>
      <c r="F8" s="22" t="s">
        <v>147</v>
      </c>
      <c r="G8" s="22" t="s">
        <v>81</v>
      </c>
      <c r="H8" s="22" t="s">
        <v>55</v>
      </c>
      <c r="I8" s="22"/>
      <c r="J8" s="22">
        <v>2</v>
      </c>
    </row>
    <row r="9" spans="1:10" ht="90" customHeight="1" x14ac:dyDescent="0.35">
      <c r="A9" s="21">
        <v>8</v>
      </c>
      <c r="B9" s="22" t="s">
        <v>82</v>
      </c>
      <c r="C9" s="25">
        <v>35</v>
      </c>
      <c r="D9" s="22" t="s">
        <v>60</v>
      </c>
      <c r="E9" s="22" t="s">
        <v>148</v>
      </c>
      <c r="F9" s="22" t="s">
        <v>149</v>
      </c>
      <c r="G9" s="22" t="s">
        <v>84</v>
      </c>
      <c r="H9" s="22" t="s">
        <v>55</v>
      </c>
      <c r="I9" s="22"/>
      <c r="J9" s="22">
        <v>10</v>
      </c>
    </row>
    <row r="10" spans="1:10" ht="90" customHeight="1" x14ac:dyDescent="0.35">
      <c r="A10" s="21">
        <v>9</v>
      </c>
      <c r="B10" s="22" t="s">
        <v>85</v>
      </c>
      <c r="C10" s="25">
        <v>25</v>
      </c>
      <c r="D10" s="22" t="s">
        <v>4</v>
      </c>
      <c r="E10" s="22" t="s">
        <v>150</v>
      </c>
      <c r="F10" s="22" t="s">
        <v>151</v>
      </c>
      <c r="G10" s="22" t="s">
        <v>87</v>
      </c>
      <c r="H10" s="22" t="s">
        <v>55</v>
      </c>
      <c r="I10" s="22"/>
      <c r="J10" s="22">
        <v>7</v>
      </c>
    </row>
    <row r="11" spans="1:10" ht="90" customHeight="1" x14ac:dyDescent="0.35">
      <c r="A11" s="21">
        <v>10</v>
      </c>
      <c r="B11" s="22" t="s">
        <v>85</v>
      </c>
      <c r="C11" s="25">
        <v>25</v>
      </c>
      <c r="D11" s="22" t="s">
        <v>29</v>
      </c>
      <c r="E11" s="22" t="s">
        <v>152</v>
      </c>
      <c r="F11" s="22" t="s">
        <v>153</v>
      </c>
      <c r="G11" s="22" t="s">
        <v>88</v>
      </c>
      <c r="H11" s="22" t="s">
        <v>55</v>
      </c>
      <c r="I11" s="22"/>
      <c r="J11" s="22">
        <v>1</v>
      </c>
    </row>
  </sheetData>
  <dataValidations count="1">
    <dataValidation type="list" allowBlank="1" sqref="H2 H3 H4 H5 H6 H7 H8 H9 H10 H11"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2026-06-23T11:33:17Z</dcterms:created>
  <dcterms:modified xsi:type="dcterms:W3CDTF">2026-06-23T11:50:51Z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2026-06-23T11:50:51Z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dfe4984c-e645-4725-b91b-28b283cb68df</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