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  <sheet xmlns:r="http://schemas.openxmlformats.org/officeDocument/2006/relationships" name="Feedback Learning" sheetId="9" state="visible" r:id="rId9"/>
  </sheets>
  <definedNames>
    <definedName name="_xlnm._FilterDatabase" localSheetId="2" hidden="1">'All Leads'!$A$1:$X$8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  <definedName name="_xlnm._FilterDatabase" localSheetId="8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02:06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58.1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Motel 6 Orlando, FL - International Dr</t>
        </is>
      </c>
      <c r="C24" s="25" t="inlineStr">
        <is>
          <t>Orlando</t>
        </is>
      </c>
      <c r="D24" s="25" t="inlineStr"/>
      <c r="E24" s="23" t="n">
        <v>86.40000000000001</v>
      </c>
      <c r="F24" s="25" t="inlineStr">
        <is>
          <t>★ 3.1</t>
        </is>
      </c>
      <c r="G24" s="25" t="inlineStr">
        <is>
          <t>75%</t>
        </is>
      </c>
      <c r="H24" s="26" t="inlineStr">
        <is>
          <t>Affiliated (G6)</t>
        </is>
      </c>
      <c r="I24" s="26" t="inlineStr">
        <is>
          <t>Old Property</t>
        </is>
      </c>
      <c r="J24" s="26" t="inlineStr">
        <is>
          <t>HARE KRISHNA UNIVERSAL LLC</t>
        </is>
      </c>
      <c r="K24" s="26" t="n">
        <v>5</v>
      </c>
      <c r="L24" s="23" t="inlineStr">
        <is>
          <t>New</t>
        </is>
      </c>
      <c r="M24" s="25" t="inlineStr">
        <is>
          <t>2026-06-24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7" t="n">
        <v>71.59999999999999</v>
      </c>
      <c r="F25" s="21" t="inlineStr">
        <is>
          <t>★ 3.5</t>
        </is>
      </c>
      <c r="G25" s="21" t="inlineStr">
        <is>
          <t>65%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2026-06-24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65.59999999999999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2026-06-24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7" t="n">
        <v>60.5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DONGXIANG INVESTMENT GROUP LLC</t>
        </is>
      </c>
      <c r="K27" s="22" t="n">
        <v>11</v>
      </c>
      <c r="L27" s="23" t="inlineStr">
        <is>
          <t>New</t>
        </is>
      </c>
      <c r="M27" s="21" t="inlineStr">
        <is>
          <t>2026-06-24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Four Points by Sheraton Orlando International Drive</t>
        </is>
      </c>
      <c r="C28" s="25" t="inlineStr">
        <is>
          <t>Orlando</t>
        </is>
      </c>
      <c r="D28" s="25" t="inlineStr"/>
      <c r="E28" s="25" t="n">
        <v>50.5</v>
      </c>
      <c r="F28" s="25" t="inlineStr">
        <is>
          <t>★ 2.8</t>
        </is>
      </c>
      <c r="G28" s="25" t="inlineStr">
        <is>
          <t>35%</t>
        </is>
      </c>
      <c r="H28" s="26" t="inlineStr">
        <is>
          <t>Affiliated (Marriott)</t>
        </is>
      </c>
      <c r="I28" s="26" t="inlineStr">
        <is>
          <t>Long-Term Owner | Old Property</t>
        </is>
      </c>
      <c r="J28" s="26" t="inlineStr">
        <is>
          <t>ORLANDO POINTS HOTEL LLC</t>
        </is>
      </c>
      <c r="K28" s="26" t="n">
        <v>10</v>
      </c>
      <c r="L28" s="23" t="inlineStr">
        <is>
          <t>New</t>
        </is>
      </c>
      <c r="M28" s="25" t="inlineStr">
        <is>
          <t>2026-06-24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</v>
      </c>
      <c r="F29" s="21" t="inlineStr">
        <is>
          <t>★ 2.8</t>
        </is>
      </c>
      <c r="G29" s="21" t="inlineStr">
        <is>
          <t>45%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2026-06-24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4 distressed assets detected</t>
        </is>
      </c>
      <c r="I36" s="31" t="inlineStr">
        <is>
          <t>Distress scan</t>
        </is>
      </c>
      <c r="L36" s="33" t="inlineStr">
        <is>
          <t>Jun 24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02:06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5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High Opportunity</t>
        </is>
      </c>
      <c r="E101" t="n">
        <v>43</v>
      </c>
      <c r="G101" t="inlineStr">
        <is>
          <t>Orlando</t>
        </is>
      </c>
      <c r="H101" t="n">
        <v>67.8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57</v>
      </c>
    </row>
    <row r="103">
      <c r="A103" t="inlineStr">
        <is>
          <t>40-59 Moderate</t>
        </is>
      </c>
      <c r="B103" t="n">
        <v>2</v>
      </c>
      <c r="D103" t="inlineStr">
        <is>
          <t>High Distress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7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2.8</v>
      </c>
      <c r="G2" s="25" t="n">
        <v>0.75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46197.35886932082</v>
      </c>
      <c r="X2" s="25" t="inlineStr">
        <is>
          <t>8566 NW 19TH DR, CORAL SPRINGS, FL 33071-6151</t>
        </is>
      </c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3" t="n">
        <v>86.40000000000001</v>
      </c>
      <c r="E3" s="21" t="n">
        <v>58</v>
      </c>
      <c r="F3" s="21" t="n">
        <v>3.1</v>
      </c>
      <c r="G3" s="21" t="n">
        <v>0.75</v>
      </c>
      <c r="H3" s="22" t="inlineStr">
        <is>
          <t>HARE KRISHNA UNIVERSAL LLC</t>
        </is>
      </c>
      <c r="I3" s="21" t="n">
        <v>5</v>
      </c>
      <c r="J3" s="21" t="n">
        <v>24</v>
      </c>
      <c r="K3" s="21" t="n"/>
      <c r="L3" s="21" t="inlineStr">
        <is>
          <t>G6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Old Property</t>
        </is>
      </c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Economy</t>
        </is>
      </c>
      <c r="W3" s="36" t="n">
        <v>46197.35886932082</v>
      </c>
      <c r="X3" s="21" t="inlineStr">
        <is>
          <t>2030 AVALON PKWY, MCDONOUGH, GA 30253-3096</t>
        </is>
      </c>
    </row>
    <row r="4" ht="18" customHeight="1">
      <c r="A4" s="26" t="inlineStr">
        <is>
          <t>La Quinta Inn by Wyndham Orlando International Drive North</t>
        </is>
      </c>
      <c r="B4" s="26" t="inlineStr">
        <is>
          <t>Orlando</t>
        </is>
      </c>
      <c r="C4" s="25" t="inlineStr"/>
      <c r="D4" s="27" t="n">
        <v>71.59999999999999</v>
      </c>
      <c r="E4" s="25" t="n">
        <v>62</v>
      </c>
      <c r="F4" s="25" t="n">
        <v>3.5</v>
      </c>
      <c r="G4" s="25" t="n">
        <v>0.65</v>
      </c>
      <c r="H4" s="26" t="inlineStr">
        <is>
          <t>DHA INVESTMENTS LLC</t>
        </is>
      </c>
      <c r="I4" s="25" t="n">
        <v>18</v>
      </c>
      <c r="J4" s="25" t="n">
        <v>53</v>
      </c>
      <c r="K4" s="25" t="n"/>
      <c r="L4" s="25" t="inlineStr">
        <is>
          <t>Wyndham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46197.35886932082</v>
      </c>
      <c r="X4" s="25" t="inlineStr">
        <is>
          <t>291 S LA CIENEGA BLVD, BEVERLY HILLS, CA 90211-3309</t>
        </is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65.59999999999999</v>
      </c>
      <c r="E5" s="21" t="n">
        <v>72</v>
      </c>
      <c r="F5" s="21" t="n">
        <v>3.5</v>
      </c>
      <c r="G5" s="21" t="n">
        <v>0.85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46197.35886932082</v>
      </c>
      <c r="X5" s="21" t="inlineStr">
        <is>
          <t>8367 VIA ROSA, ORLANDO, FL 32836-8788</t>
        </is>
      </c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7" t="n">
        <v>60.5</v>
      </c>
      <c r="E6" s="25" t="n">
        <v>65</v>
      </c>
      <c r="F6" s="25" t="n">
        <v>3.2</v>
      </c>
      <c r="G6" s="25" t="n">
        <v>0.85</v>
      </c>
      <c r="H6" s="26" t="inlineStr">
        <is>
          <t>DONGXIANG INVESTMENT GROUP LLC</t>
        </is>
      </c>
      <c r="I6" s="25" t="n">
        <v>11</v>
      </c>
      <c r="J6" s="25" t="n">
        <v>42</v>
      </c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>
        <is>
          <t>Long-Term Owner | Old Property</t>
        </is>
      </c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46197.35886932082</v>
      </c>
      <c r="X6" s="25" t="inlineStr">
        <is>
          <t>8566 NW 19TH DR, CORAL SPRINGS, FL 33071-6151</t>
        </is>
      </c>
    </row>
    <row r="7" ht="18" customHeight="1">
      <c r="A7" s="22" t="inlineStr">
        <is>
          <t>Four Points by Sheraton Orlando International Drive</t>
        </is>
      </c>
      <c r="B7" s="22" t="inlineStr">
        <is>
          <t>Orlando</t>
        </is>
      </c>
      <c r="C7" s="21" t="inlineStr"/>
      <c r="D7" s="21" t="n">
        <v>50.5</v>
      </c>
      <c r="E7" s="21" t="n">
        <v>45</v>
      </c>
      <c r="F7" s="21" t="n">
        <v>2.8</v>
      </c>
      <c r="G7" s="21" t="n">
        <v>0.35</v>
      </c>
      <c r="H7" s="22" t="inlineStr">
        <is>
          <t>ORLANDO POINTS HOTEL LLC</t>
        </is>
      </c>
      <c r="I7" s="21" t="n">
        <v>10</v>
      </c>
      <c r="J7" s="21" t="n">
        <v>52</v>
      </c>
      <c r="K7" s="21" t="n"/>
      <c r="L7" s="21" t="inlineStr">
        <is>
          <t>Marriott</t>
        </is>
      </c>
      <c r="M7" s="21" t="b">
        <v>1</v>
      </c>
      <c r="N7" s="21" t="b">
        <v>0</v>
      </c>
      <c r="O7" s="21" t="b">
        <v>0</v>
      </c>
      <c r="P7" s="21" t="b">
        <v>0</v>
      </c>
      <c r="Q7" s="22" t="inlineStr">
        <is>
          <t>Long-Term Owner | Old Property</t>
        </is>
      </c>
      <c r="R7" s="23" t="inlineStr">
        <is>
          <t>New</t>
        </is>
      </c>
      <c r="S7" s="22" t="inlineStr"/>
      <c r="T7" s="21" t="inlineStr"/>
      <c r="U7" s="21" t="inlineStr"/>
      <c r="V7" s="21" t="inlineStr">
        <is>
          <t>Upscale</t>
        </is>
      </c>
      <c r="W7" s="36" t="n">
        <v>46197.35886932082</v>
      </c>
      <c r="X7" s="21" t="inlineStr">
        <is>
          <t>11605 HAYNES BRIDGE RD, ALPHARETTA, GA 30009-8666</t>
        </is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</v>
      </c>
      <c r="E8" s="25" t="n">
        <v>50</v>
      </c>
      <c r="F8" s="25" t="n">
        <v>2.8</v>
      </c>
      <c r="G8" s="25" t="n">
        <v>0.45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25" t="inlineStr"/>
      <c r="V8" s="25" t="inlineStr"/>
      <c r="W8" s="35" t="n">
        <v>46197.35886932082</v>
      </c>
      <c r="X8" s="25" t="inlineStr">
        <is>
          <t>479 MONTGOMERY PL, ALTAMONTE SPRINGS, FL 32714-3100</t>
        </is>
      </c>
    </row>
  </sheetData>
  <autoFilter ref="A1:X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86.40000000000001</v>
      </c>
      <c r="F3" s="21" t="n">
        <v>58</v>
      </c>
      <c r="G3" s="21" t="inlineStr">
        <is>
          <t>HARE KRISHNA UNIVERSAL LLC</t>
        </is>
      </c>
      <c r="H3" s="21" t="n">
        <v>5</v>
      </c>
      <c r="I3" s="21" t="inlineStr">
        <is>
          <t>Old Property</t>
        </is>
      </c>
      <c r="J3" s="21" t="inlineStr">
        <is>
          <t>New</t>
        </is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71.59999999999999</v>
      </c>
      <c r="F4" s="25" t="n">
        <v>62</v>
      </c>
      <c r="G4" s="25" t="inlineStr">
        <is>
          <t>DHA INVESTMENTS LLC</t>
        </is>
      </c>
      <c r="H4" s="25" t="n">
        <v>18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La Quinta Inn by Wyndham Orlando International Drive North</t>
        </is>
      </c>
      <c r="B2" s="25" t="inlineStr">
        <is>
          <t>DHA INVESTMENTS LLC</t>
        </is>
      </c>
      <c r="C2" s="25" t="inlineStr">
        <is>
          <t>291 S LA CIENEGA BLVD, BEVERLY HILLS, CA 90211-3309</t>
        </is>
      </c>
      <c r="D2" s="37" t="n">
        <v>39457</v>
      </c>
      <c r="E2" s="25" t="n">
        <v>18</v>
      </c>
      <c r="F2" s="25" t="n">
        <v>53</v>
      </c>
      <c r="G2" s="25" t="n">
        <v>71.59999999999999</v>
      </c>
      <c r="H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DONGXIANG INVESTMENT GROUP LLC</t>
        </is>
      </c>
      <c r="C4" s="25" t="inlineStr">
        <is>
          <t>8566 NW 19TH DR, CORAL SPRINGS, FL 33071-6151</t>
        </is>
      </c>
      <c r="D4" s="37" t="n">
        <v>42312</v>
      </c>
      <c r="E4" s="25" t="n">
        <v>11</v>
      </c>
      <c r="F4" s="25" t="n">
        <v>42</v>
      </c>
      <c r="G4" s="25" t="n">
        <v>60.5</v>
      </c>
      <c r="H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50.5</v>
      </c>
      <c r="H5" s="21" t="inlineStr">
        <is>
          <t>New</t>
        </is>
      </c>
    </row>
    <row r="6" ht="18" customHeight="1">
      <c r="A6" s="26" t="inlineStr">
        <is>
          <t>Cambria Hotel Orlando Universal Blvd</t>
        </is>
      </c>
      <c r="B6" s="25" t="inlineStr">
        <is>
          <t>SAAR INTERNATIONAL HOTELS LLC</t>
        </is>
      </c>
      <c r="C6" s="25" t="inlineStr">
        <is>
          <t>479 MONTGOMERY PL, ALTAMONTE SPRINGS, FL 32714-3100</t>
        </is>
      </c>
      <c r="D6" s="37" t="n">
        <v>43308</v>
      </c>
      <c r="E6" s="25" t="n">
        <v>8</v>
      </c>
      <c r="F6" s="25" t="n">
        <v>3</v>
      </c>
      <c r="G6" s="25" t="n">
        <v>40</v>
      </c>
      <c r="H6" s="25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HARE KRISHNA UNIVERSAL LLC</t>
        </is>
      </c>
      <c r="C7" s="21" t="inlineStr">
        <is>
          <t>2030 AVALON PKWY, MCDONOUGH, GA 30253-3096</t>
        </is>
      </c>
      <c r="D7" s="38" t="n">
        <v>44483</v>
      </c>
      <c r="E7" s="21" t="n">
        <v>5</v>
      </c>
      <c r="F7" s="21" t="n">
        <v>24</v>
      </c>
      <c r="G7" s="21" t="n">
        <v>86.40000000000001</v>
      </c>
      <c r="H7" s="21" t="inlineStr">
        <is>
          <t>New</t>
        </is>
      </c>
    </row>
    <row r="8" ht="18" customHeight="1">
      <c r="A8" s="26" t="inlineStr">
        <is>
          <t>SureStay Plus By Best Western Orlando International Drive</t>
        </is>
      </c>
      <c r="B8" s="25" t="inlineStr">
        <is>
          <t>MM INTERNATIONAL FAMILY RESORT LLC</t>
        </is>
      </c>
      <c r="C8" s="25" t="inlineStr">
        <is>
          <t>8367 VIA ROSA, ORLANDO, FL 32836-8788</t>
        </is>
      </c>
      <c r="D8" s="37" t="n">
        <v>45887</v>
      </c>
      <c r="E8" s="25" t="n">
        <v>1</v>
      </c>
      <c r="F8" s="25" t="n">
        <v>43</v>
      </c>
      <c r="G8" s="25" t="n">
        <v>65.59999999999999</v>
      </c>
      <c r="H8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SureStay Plus By Best Western Orlando International Drive</t>
        </is>
      </c>
      <c r="B2" s="25" t="inlineStr">
        <is>
          <t>Old Property</t>
        </is>
      </c>
      <c r="C2" s="25" t="n">
        <v>0.85</v>
      </c>
      <c r="D2" s="25" t="n">
        <v>0.3</v>
      </c>
      <c r="E2" s="25" t="n">
        <v>65.59999999999999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60.5</v>
      </c>
      <c r="F3" s="21" t="inlineStr">
        <is>
          <t>New</t>
        </is>
      </c>
    </row>
    <row r="4" ht="18" customHeight="1">
      <c r="A4" s="26" t="inlineStr">
        <is>
          <t>Super 8 by Wyndham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100</v>
      </c>
      <c r="F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0.6</v>
      </c>
      <c r="E5" s="21" t="n">
        <v>86.40000000000001</v>
      </c>
      <c r="F5" s="21" t="inlineStr">
        <is>
          <t>New</t>
        </is>
      </c>
    </row>
    <row r="6" ht="18" customHeight="1">
      <c r="A6" s="26" t="inlineStr">
        <is>
          <t>La Quinta Inn by Wyndham Orlando International Drive North</t>
        </is>
      </c>
      <c r="B6" s="25" t="inlineStr">
        <is>
          <t>Long-Term Owner | Old Property</t>
        </is>
      </c>
      <c r="C6" s="25" t="n">
        <v>0.65</v>
      </c>
      <c r="D6" s="25" t="n">
        <v>0.7</v>
      </c>
      <c r="E6" s="25" t="n">
        <v>71.59999999999999</v>
      </c>
      <c r="F6" s="25" t="inlineStr">
        <is>
          <t>New</t>
        </is>
      </c>
    </row>
    <row r="7" ht="18" customHeight="1">
      <c r="A7" s="22" t="inlineStr">
        <is>
          <t>Cambria Hotel Orlando Universal Blvd</t>
        </is>
      </c>
      <c r="B7" s="21" t="inlineStr"/>
      <c r="C7" s="21" t="n">
        <v>0.45</v>
      </c>
      <c r="D7" s="21" t="n">
        <v>0.3</v>
      </c>
      <c r="E7" s="21" t="n">
        <v>40</v>
      </c>
      <c r="F7" s="21" t="inlineStr">
        <is>
          <t>New</t>
        </is>
      </c>
    </row>
    <row r="8" ht="18" customHeight="1">
      <c r="A8" s="26" t="inlineStr">
        <is>
          <t>Four Points by Sheraton Orlando International Drive</t>
        </is>
      </c>
      <c r="B8" s="25" t="inlineStr">
        <is>
          <t>Long-Term Owner | Old Property</t>
        </is>
      </c>
      <c r="C8" s="25" t="n">
        <v>0.35</v>
      </c>
      <c r="D8" s="25" t="n">
        <v>0.7</v>
      </c>
      <c r="E8" s="25" t="n">
        <v>50.5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46197.35886932082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86.40000000000001</v>
      </c>
      <c r="E3" s="23" t="inlineStr">
        <is>
          <t>New</t>
        </is>
      </c>
      <c r="F3" s="22" t="inlineStr"/>
      <c r="G3" s="36" t="n">
        <v>46197.35886932082</v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n">
        <v>71.59999999999999</v>
      </c>
      <c r="E4" s="23" t="inlineStr">
        <is>
          <t>New</t>
        </is>
      </c>
      <c r="F4" s="26" t="inlineStr"/>
      <c r="G4" s="35" t="n">
        <v>46197.35886932082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65.59999999999999</v>
      </c>
      <c r="E5" s="23" t="inlineStr">
        <is>
          <t>New</t>
        </is>
      </c>
      <c r="F5" s="22" t="inlineStr"/>
      <c r="G5" s="36" t="n">
        <v>46197.35886932082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60.5</v>
      </c>
      <c r="E6" s="23" t="inlineStr">
        <is>
          <t>New</t>
        </is>
      </c>
      <c r="F6" s="26" t="inlineStr"/>
      <c r="G6" s="35" t="n">
        <v>46197.35886932082</v>
      </c>
    </row>
    <row r="7" ht="18" customHeight="1">
      <c r="A7" s="22" t="inlineStr">
        <is>
          <t>Four Points by Sheraton Orlando International Drive</t>
        </is>
      </c>
      <c r="B7" s="21" t="inlineStr">
        <is>
          <t>Orlando</t>
        </is>
      </c>
      <c r="C7" s="21" t="inlineStr"/>
      <c r="D7" s="21" t="n">
        <v>50.5</v>
      </c>
      <c r="E7" s="23" t="inlineStr">
        <is>
          <t>New</t>
        </is>
      </c>
      <c r="F7" s="22" t="inlineStr"/>
      <c r="G7" s="36" t="n">
        <v>46197.35886932082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</v>
      </c>
      <c r="E8" s="23" t="inlineStr">
        <is>
          <t>New</t>
        </is>
      </c>
      <c r="F8" s="26" t="inlineStr"/>
      <c r="G8" s="35" t="n">
        <v>46197.35886932082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4" t="inlineStr">
        <is>
          <t>Reason</t>
        </is>
      </c>
      <c r="B1" s="34" t="inlineStr">
        <is>
          <t>Count</t>
        </is>
      </c>
      <c r="C1" s="34" t="inlineStr">
        <is>
          <t>Pipeline Fix</t>
        </is>
      </c>
      <c r="D1" s="34" t="inlineStr">
        <is>
          <t>Prompt Fix</t>
        </is>
      </c>
      <c r="E1" s="34" t="inlineStr">
        <is>
          <t>Scoring Fix</t>
        </is>
      </c>
      <c r="F1" s="34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2026-06-24T08:36:22Z</dcterms:created>
  <dcterms:modified xmlns:dcterms="http://purl.org/dc/terms/" xmlns:xsi="http://www.w3.org/2001/XMLSchema-instance" xsi:type="dcterms:W3CDTF">2026-06-24T08:36:22Z</dcterms:modified>
</cp:coreProperties>
</file>