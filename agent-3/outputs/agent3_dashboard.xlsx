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'Dashboard'!$A$28:$J$28</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6">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sz val="9"/>
    </font>
    <font>
      <name val="Calibri"/>
      <b val="1"/>
      <sz val="10"/>
    </font>
    <font>
      <name val="Calibri"/>
      <sz val="10"/>
    </font>
    <font>
      <name val="Calibri"/>
      <b val="1"/>
      <color rgb="001565C0"/>
      <sz val="10"/>
    </font>
    <font>
      <name val="Calibri"/>
      <b val="1"/>
      <color rgb="009E9E9E"/>
      <sz val="10"/>
    </font>
    <font>
      <name val="Calibri"/>
      <b val="1"/>
      <color rgb="001F7A1F"/>
      <sz val="10"/>
    </font>
  </fonts>
  <fills count="15">
    <fill>
      <patternFill/>
    </fill>
    <fill>
      <patternFill patternType="gray125"/>
    </fill>
    <fill>
      <patternFill patternType="solid">
        <fgColor rgb="001B2A4A"/>
        <bgColor rgb="001B2A4A"/>
      </patternFill>
    </fill>
    <fill>
      <patternFill patternType="solid">
        <fgColor rgb="001F7A1F"/>
        <bgColor rgb="001F7A1F"/>
      </patternFill>
    </fill>
    <fill>
      <patternFill patternType="solid">
        <fgColor rgb="001565C0"/>
        <bgColor rgb="001565C0"/>
      </patternFill>
    </fill>
    <fill>
      <patternFill patternType="solid">
        <fgColor rgb="008E6E1F"/>
        <bgColor rgb="008E6E1F"/>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FF3E6"/>
        <bgColor rgb="00EFF3E6"/>
      </patternFill>
    </fill>
    <fill>
      <patternFill patternType="solid">
        <fgColor rgb="00FFEB9C"/>
        <bgColor rgb="00FFEB9C"/>
      </patternFill>
    </fill>
    <fill>
      <patternFill patternType="solid">
        <fgColor rgb="00FFC7CE"/>
        <bgColor rgb="00FFC7CE"/>
      </patternFill>
    </fill>
  </fills>
  <borders count="3">
    <border>
      <left/>
      <right/>
      <top/>
      <bottom/>
      <diagonal/>
    </border>
    <border>
      <right style="thin">
        <color rgb="003D4A6B"/>
      </right>
    </border>
    <border>
      <bottom style="thin">
        <color rgb="00E0E0E0"/>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5" fillId="2" borderId="0" applyAlignment="1" pivotButton="0" quotePrefix="0" xfId="0">
      <alignment horizontal="left" vertical="center" indent="1"/>
    </xf>
    <xf numFmtId="0" fontId="10" fillId="12" borderId="0" applyAlignment="1" pivotButton="0" quotePrefix="0" xfId="0">
      <alignment vertical="center" wrapText="1" indent="1"/>
    </xf>
    <xf numFmtId="0" fontId="0" fillId="12" borderId="0" pivotButton="0" quotePrefix="0" xfId="0"/>
    <xf numFmtId="0" fontId="3" fillId="2" borderId="0" applyAlignment="1" pivotButton="0" quotePrefix="0" xfId="0">
      <alignment horizontal="center" vertical="center" wrapText="1"/>
    </xf>
    <xf numFmtId="0" fontId="11" fillId="0" borderId="0" applyAlignment="1" pivotButton="0" quotePrefix="0" xfId="0">
      <alignment horizontal="center" vertical="center"/>
    </xf>
    <xf numFmtId="0" fontId="12" fillId="0" borderId="2" applyAlignment="1" pivotButton="0" quotePrefix="0" xfId="0">
      <alignment vertical="center" wrapText="1"/>
    </xf>
    <xf numFmtId="0" fontId="12" fillId="0" borderId="2" applyAlignment="1" pivotButton="0" quotePrefix="0" xfId="0">
      <alignment vertical="center"/>
    </xf>
    <xf numFmtId="0" fontId="12" fillId="0" borderId="2" applyAlignment="1" pivotButton="0" quotePrefix="0" xfId="0">
      <alignment horizontal="center" vertical="center"/>
    </xf>
    <xf numFmtId="0" fontId="11" fillId="13" borderId="2" applyAlignment="1" pivotButton="0" quotePrefix="0" xfId="0">
      <alignment horizontal="center" vertical="center"/>
    </xf>
    <xf numFmtId="0" fontId="13" fillId="0" borderId="2" applyAlignment="1" pivotButton="0" quotePrefix="0" xfId="0">
      <alignment vertical="center"/>
    </xf>
    <xf numFmtId="0" fontId="14" fillId="0" borderId="2" applyAlignment="1" pivotButton="0" quotePrefix="0" xfId="0">
      <alignment vertical="center"/>
    </xf>
    <xf numFmtId="0" fontId="11" fillId="14" borderId="2" applyAlignment="1" pivotButton="0" quotePrefix="0" xfId="0">
      <alignment horizontal="center" vertical="center"/>
    </xf>
    <xf numFmtId="0" fontId="15" fillId="0" borderId="2" applyAlignment="1" pivotButton="0" quotePrefix="0" xfId="0">
      <alignment vertical="center"/>
    </xf>
    <xf numFmtId="0" fontId="3" fillId="2" borderId="0" applyAlignment="1" pivotButton="0" quotePrefix="0" xfId="0">
      <alignment horizontal="center" wrapText="1"/>
    </xf>
    <xf numFmtId="0" fontId="12" fillId="0" borderId="2" pivotButton="0" quotePrefix="0" xfId="0"/>
    <xf numFmtId="0" fontId="12" fillId="13" borderId="2" pivotButton="0" quotePrefix="0" xfId="0"/>
    <xf numFmtId="164" fontId="12" fillId="0" borderId="2" pivotButton="0" quotePrefix="0" xfId="0"/>
    <xf numFmtId="0" fontId="12" fillId="14" borderId="2" pivotButton="0" quotePrefix="0" xfId="0"/>
    <xf numFmtId="0" fontId="11" fillId="0" borderId="0" pivotButton="0" quotePrefix="0" xfId="0"/>
    <xf numFmtId="0" fontId="12" fillId="0" borderId="2" applyAlignment="1" pivotButton="0" quotePrefix="0" xfId="0">
      <alignment vertical="top" wrapText="1"/>
    </xf>
    <xf numFmtId="0" fontId="11" fillId="13" borderId="2" applyAlignment="1" pivotButton="0" quotePrefix="0" xfId="0">
      <alignment vertical="top" wrapText="1"/>
    </xf>
    <xf numFmtId="0" fontId="11" fillId="1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'Dashboard'!$A$12:$A$14</f>
            </numRef>
          </cat>
          <val>
            <numRef>
              <f>'Dashboard'!$B$12:$B$14</f>
            </numRef>
          </val>
        </ser>
        <dLbls>
          <showLegendKey val="0"/>
          <showVal val="0"/>
          <showCatName val="0"/>
          <showSerName val="0"/>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 (# of Targets)</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'Dashboard'!$G$12:$G$16</f>
            </numRef>
          </cat>
          <val>
            <numRef>
              <f>'Dashboard'!$H$12:$H$16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37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37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10</row>
      <rowOff>0</rowOff>
    </from>
    <ext cx="36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7"/>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22" customWidth="1" min="8" max="8"/>
    <col width="12" customWidth="1" min="9" max="9"/>
    <col width="4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Agent 3 - Business Acquisition Targeting Dashboard</t>
        </is>
      </c>
      <c r="B1" s="2" t="n"/>
      <c r="C1" s="2" t="n"/>
      <c r="D1" s="2" t="n"/>
      <c r="E1" s="2" t="n"/>
      <c r="F1" s="2" t="n"/>
      <c r="G1" s="2" t="n"/>
      <c r="H1" s="3" t="inlineStr">
        <is>
          <t>Geography:</t>
        </is>
      </c>
      <c r="I1" s="4" t="n"/>
      <c r="J1" s="5" t="inlineStr">
        <is>
          <t>Data as of:</t>
        </is>
      </c>
      <c r="K1" s="2" t="n"/>
      <c r="L1" s="2" t="n"/>
    </row>
    <row r="2" ht="18" customHeight="1">
      <c r="A2" s="6" t="inlineStr">
        <is>
          <t>Surface family-owned, founder-led businesses that fit the acquisition profile</t>
        </is>
      </c>
      <c r="B2" s="2" t="n"/>
      <c r="C2" s="2" t="n"/>
      <c r="D2" s="2" t="n"/>
      <c r="E2" s="2" t="n"/>
      <c r="F2" s="2" t="n"/>
      <c r="G2" s="2" t="n"/>
      <c r="H2" s="5" t="inlineStr">
        <is>
          <t>FL, Florida</t>
        </is>
      </c>
      <c r="I2" s="4" t="n"/>
      <c r="J2" s="7" t="inlineStr">
        <is>
          <t>22-Jun-2026 04:37 PM</t>
        </is>
      </c>
      <c r="K2" s="2" t="n"/>
      <c r="L2" s="2" t="n"/>
    </row>
    <row r="3" ht="4" customHeight="1">
      <c r="A3" s="2" t="n"/>
      <c r="B3" s="2" t="n"/>
      <c r="C3" s="2" t="n"/>
      <c r="D3" s="2" t="n"/>
      <c r="E3" s="2" t="n"/>
      <c r="F3" s="2" t="n"/>
      <c r="G3" s="2" t="n"/>
      <c r="H3" s="2" t="n"/>
      <c r="I3" s="2" t="n"/>
      <c r="J3" s="2" t="n"/>
      <c r="K3" s="2" t="n"/>
      <c r="L3" s="2" t="n"/>
    </row>
    <row r="4" ht="24" customHeight="1">
      <c r="A4" s="8" t="inlineStr">
        <is>
          <t xml:space="preserve">  Founder-Led:  5</t>
        </is>
      </c>
      <c r="D4" s="9" t="inlineStr">
        <is>
          <t xml:space="preserve">  Family-Owned:  4</t>
        </is>
      </c>
      <c r="G4" s="10" t="inlineStr">
        <is>
          <t xml:space="preserve">  Highest Score:  60</t>
        </is>
      </c>
      <c r="J4" s="11" t="inlineStr">
        <is>
          <t xml:space="preserve">  New Today:  2</t>
        </is>
      </c>
    </row>
    <row r="5" ht="4" customHeight="1">
      <c r="A5" s="2" t="n"/>
      <c r="B5" s="2" t="n"/>
      <c r="C5" s="2" t="n"/>
      <c r="D5" s="2" t="n"/>
      <c r="E5" s="2" t="n"/>
      <c r="F5" s="2" t="n"/>
      <c r="G5" s="2" t="n"/>
      <c r="H5" s="2" t="n"/>
      <c r="I5" s="2" t="n"/>
      <c r="J5" s="2" t="n"/>
      <c r="K5" s="2" t="n"/>
      <c r="L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c r="L6" s="21" t="n"/>
    </row>
    <row r="7" ht="30" customHeight="1">
      <c r="A7" s="22" t="n">
        <v>9</v>
      </c>
      <c r="B7" s="13" t="n"/>
      <c r="C7" s="23" t="n">
        <v>2</v>
      </c>
      <c r="D7" s="15" t="n"/>
      <c r="E7" s="24" t="n">
        <v>1</v>
      </c>
      <c r="F7" s="17" t="n"/>
      <c r="G7" s="17" t="n"/>
      <c r="H7" s="25" t="n">
        <v>7</v>
      </c>
      <c r="I7" s="19" t="n"/>
      <c r="J7" s="26" t="n">
        <v>2</v>
      </c>
      <c r="K7" s="21" t="n"/>
      <c r="L7" s="21" t="n"/>
    </row>
    <row r="8" ht="16" customHeight="1">
      <c r="A8" s="27" t="inlineStr">
        <is>
          <t>All Time</t>
        </is>
      </c>
      <c r="B8" s="13" t="n"/>
      <c r="C8" s="28" t="inlineStr">
        <is>
          <t>vs Last Week: ↓ 5</t>
        </is>
      </c>
      <c r="D8" s="15" t="n"/>
      <c r="E8" s="29" t="inlineStr">
        <is>
          <t>vs Last Week: ↑ 1</t>
        </is>
      </c>
      <c r="F8" s="17" t="n"/>
      <c r="G8" s="17" t="n"/>
      <c r="H8" s="30" t="inlineStr">
        <is>
          <t>vs Last Week: — 0</t>
        </is>
      </c>
      <c r="I8" s="19" t="n"/>
      <c r="J8" s="31" t="inlineStr">
        <is>
          <t>vs Last Week: ↑ 2</t>
        </is>
      </c>
      <c r="K8" s="21" t="n"/>
      <c r="L8" s="21" t="n"/>
    </row>
    <row r="9" ht="8" customHeight="1">
      <c r="A9" s="13" t="n"/>
      <c r="B9" s="13" t="n"/>
      <c r="C9" s="15" t="n"/>
      <c r="D9" s="15" t="n"/>
      <c r="E9" s="17" t="n"/>
      <c r="F9" s="17" t="n"/>
      <c r="G9" s="17" t="n"/>
      <c r="H9" s="19" t="n"/>
      <c r="I9" s="19" t="n"/>
      <c r="J9" s="21" t="n"/>
      <c r="K9" s="21" t="n"/>
      <c r="L9" s="21" t="n"/>
    </row>
    <row r="11" ht="22" customHeight="1">
      <c r="A11" s="32" t="inlineStr">
        <is>
          <t>State</t>
        </is>
      </c>
      <c r="B11" s="32" t="inlineStr">
        <is>
          <t>Count</t>
        </is>
      </c>
      <c r="D11" s="32" t="inlineStr">
        <is>
          <t>Band</t>
        </is>
      </c>
      <c r="E11" s="32" t="inlineStr">
        <is>
          <t>Count</t>
        </is>
      </c>
      <c r="G11" s="32" t="inlineStr">
        <is>
          <t>Industry</t>
        </is>
      </c>
      <c r="H11" s="32" t="inlineStr">
        <is>
          <t>Count</t>
        </is>
      </c>
      <c r="K11" s="33" t="inlineStr">
        <is>
          <t>Key Insights</t>
        </is>
      </c>
    </row>
    <row r="12" ht="16" customHeight="1">
      <c r="A12" s="32" t="inlineStr">
        <is>
          <t>Florida</t>
        </is>
      </c>
      <c r="B12" s="32" t="n">
        <v>7</v>
      </c>
      <c r="D12" s="32" t="inlineStr">
        <is>
          <t>20-40</t>
        </is>
      </c>
      <c r="E12" s="32" t="n">
        <v>4</v>
      </c>
      <c r="G12" s="32" t="inlineStr">
        <is>
          <t>Medical Devices</t>
        </is>
      </c>
      <c r="H12" s="32" t="n">
        <v>1</v>
      </c>
      <c r="K12" s="34" t="inlineStr">
        <is>
          <t>• 56% of targets are founder-led</t>
        </is>
      </c>
      <c r="L12" s="35" t="n"/>
    </row>
    <row r="13" ht="16" customHeight="1">
      <c r="A13" s="32" t="inlineStr">
        <is>
          <t>FL</t>
        </is>
      </c>
      <c r="B13" s="32" t="n">
        <v>1</v>
      </c>
      <c r="D13" s="32" t="inlineStr">
        <is>
          <t>40-60</t>
        </is>
      </c>
      <c r="E13" s="32" t="n">
        <v>1</v>
      </c>
      <c r="G13" s="32" t="inlineStr">
        <is>
          <t>Food</t>
        </is>
      </c>
      <c r="H13" s="32" t="n">
        <v>1</v>
      </c>
      <c r="K13" s="35" t="n"/>
      <c r="L13" s="35" t="n"/>
    </row>
    <row r="14" ht="16" customHeight="1">
      <c r="A14" s="32" t="inlineStr">
        <is>
          <t>Unknown</t>
        </is>
      </c>
      <c r="B14" s="32" t="n">
        <v>1</v>
      </c>
      <c r="D14" s="32" t="inlineStr">
        <is>
          <t>60-80</t>
        </is>
      </c>
      <c r="E14" s="32" t="n">
        <v>1</v>
      </c>
      <c r="G14" s="32" t="inlineStr">
        <is>
          <t>Business Services &amp; Supp...</t>
        </is>
      </c>
      <c r="H14" s="32" t="n">
        <v>1</v>
      </c>
      <c r="K14" s="34" t="inlineStr">
        <is>
          <t>• 44% of targets are family-owned</t>
        </is>
      </c>
      <c r="L14" s="35" t="n"/>
    </row>
    <row r="15" ht="16" customHeight="1">
      <c r="D15" s="32" t="inlineStr">
        <is>
          <t>80-100</t>
        </is>
      </c>
      <c r="E15" s="32" t="n">
        <v>0</v>
      </c>
      <c r="G15" s="32" t="inlineStr">
        <is>
          <t>Residential Building Con...</t>
        </is>
      </c>
      <c r="H15" s="32" t="n">
        <v>1</v>
      </c>
      <c r="K15" s="35" t="n"/>
      <c r="L15" s="35" t="n"/>
    </row>
    <row r="16" ht="16" customHeight="1">
      <c r="G16" s="32" t="inlineStr">
        <is>
          <t>Venture Capital and Priv...</t>
        </is>
      </c>
      <c r="H16" s="32" t="n">
        <v>1</v>
      </c>
      <c r="K16" s="34" t="inlineStr">
        <is>
          <t>• Florida has the highest volume</t>
        </is>
      </c>
      <c r="L16" s="35" t="n"/>
    </row>
    <row r="17" ht="16" customHeight="1">
      <c r="K17" s="35" t="n"/>
      <c r="L17" s="35" t="n"/>
    </row>
    <row r="18" ht="16" customHeight="1">
      <c r="K18" s="34" t="inlineStr">
        <is>
          <t>• 2 new targets added this run</t>
        </is>
      </c>
      <c r="L18" s="35" t="n"/>
    </row>
    <row r="19" ht="16" customHeight="1">
      <c r="K19" s="35" t="n"/>
      <c r="L19" s="35" t="n"/>
    </row>
    <row r="20" ht="16" customHeight="1">
      <c r="K20" s="34" t="inlineStr">
        <is>
          <t>• 0 companies scored 80+</t>
        </is>
      </c>
      <c r="L20" s="35" t="n"/>
    </row>
    <row r="21" ht="16" customHeight="1">
      <c r="K21" s="35" t="n"/>
      <c r="L21" s="35" t="n"/>
    </row>
    <row r="22" ht="16" customHeight="1">
      <c r="K22" s="35" t="n"/>
      <c r="L22" s="35" t="n"/>
    </row>
    <row r="23" ht="16" customHeight="1">
      <c r="K23" s="35" t="n"/>
      <c r="L23" s="35" t="n"/>
    </row>
    <row r="24" ht="16" customHeight="1">
      <c r="K24" s="35" t="n"/>
      <c r="L24" s="35" t="n"/>
    </row>
    <row r="25" ht="16" customHeight="1">
      <c r="K25" s="35" t="n"/>
      <c r="L25" s="35" t="n"/>
    </row>
    <row r="28" ht="26" customHeight="1">
      <c r="A28" s="36" t="inlineStr">
        <is>
          <t>Rank</t>
        </is>
      </c>
      <c r="B28" s="36" t="inlineStr">
        <is>
          <t>Company Name</t>
        </is>
      </c>
      <c r="C28" s="36" t="inlineStr">
        <is>
          <t>Founder Name</t>
        </is>
      </c>
      <c r="D28" s="36" t="inlineStr">
        <is>
          <t>Founder Age (Est.)</t>
        </is>
      </c>
      <c r="E28" s="36" t="inlineStr">
        <is>
          <t>Years in Business</t>
        </is>
      </c>
      <c r="F28" s="36" t="inlineStr">
        <is>
          <t>State</t>
        </is>
      </c>
      <c r="G28" s="36" t="inlineStr">
        <is>
          <t>Readiness Score</t>
        </is>
      </c>
      <c r="H28" s="36" t="inlineStr">
        <is>
          <t>Ownership Type</t>
        </is>
      </c>
      <c r="I28" s="36" t="inlineStr">
        <is>
          <t>Status</t>
        </is>
      </c>
      <c r="J28" s="36" t="inlineStr">
        <is>
          <t>Why Selected</t>
        </is>
      </c>
    </row>
    <row r="29">
      <c r="A29" s="37" t="n">
        <v>1</v>
      </c>
      <c r="B29" s="38" t="inlineStr">
        <is>
          <t>Arthrex</t>
        </is>
      </c>
      <c r="C29" s="38" t="inlineStr">
        <is>
          <t>Reinhold Schmieding</t>
        </is>
      </c>
      <c r="D29" s="39" t="inlineStr">
        <is>
          <t>Unknown</t>
        </is>
      </c>
      <c r="E29" s="40" t="n">
        <v>46</v>
      </c>
      <c r="F29" s="39" t="inlineStr">
        <is>
          <t>Florida</t>
        </is>
      </c>
      <c r="G29" s="41" t="n">
        <v>60</v>
      </c>
      <c r="H29" s="39" t="inlineStr">
        <is>
          <t>Family-Owned, Founder-Led</t>
        </is>
      </c>
      <c r="I29" s="42" t="inlineStr">
        <is>
          <t>Pursuing</t>
        </is>
      </c>
      <c r="J29" s="38" t="inlineStr">
        <is>
          <t>Arthrex's long history and family ownership make it an appealing acquisition target.</t>
        </is>
      </c>
    </row>
    <row r="30">
      <c r="A30" s="37" t="n">
        <v>2</v>
      </c>
      <c r="B30" s="38" t="inlineStr">
        <is>
          <t>American Sugar Refining</t>
        </is>
      </c>
      <c r="C30" s="38" t="inlineStr">
        <is>
          <t>Florida Crystals Corporation and Sugar Cane Growers Cooperative of Florida</t>
        </is>
      </c>
      <c r="D30" s="39" t="inlineStr">
        <is>
          <t>Unknown</t>
        </is>
      </c>
      <c r="E30" s="40" t="n">
        <v>28</v>
      </c>
      <c r="F30" s="39" t="inlineStr">
        <is>
          <t>Florida</t>
        </is>
      </c>
      <c r="G30" s="41" t="n">
        <v>45</v>
      </c>
      <c r="H30" s="39" t="inlineStr">
        <is>
          <t>Family-Owned</t>
        </is>
      </c>
      <c r="I30" s="43" t="inlineStr">
        <is>
          <t>Passed</t>
        </is>
      </c>
      <c r="J30" s="38" t="inlineStr">
        <is>
          <t>Established food industry player with strong family ownership and partnership structure.</t>
        </is>
      </c>
    </row>
    <row r="31">
      <c r="A31" s="37" t="n">
        <v>3</v>
      </c>
      <c r="B31" s="38" t="inlineStr">
        <is>
          <t>Acosta</t>
        </is>
      </c>
      <c r="C31" s="38" t="inlineStr">
        <is>
          <t>L.T. Acosta</t>
        </is>
      </c>
      <c r="D31" s="39" t="inlineStr">
        <is>
          <t>Unknown</t>
        </is>
      </c>
      <c r="E31" s="40" t="n">
        <v>99</v>
      </c>
      <c r="F31" s="39" t="inlineStr">
        <is>
          <t>Florida</t>
        </is>
      </c>
      <c r="G31" s="44" t="n">
        <v>35</v>
      </c>
      <c r="H31" s="39" t="inlineStr">
        <is>
          <t>Unknown</t>
        </is>
      </c>
      <c r="I31" s="45" t="inlineStr">
        <is>
          <t>New</t>
        </is>
      </c>
      <c r="J31" s="38" t="inlineStr">
        <is>
          <t>Acosta's 99 years in business make it a stable acquisition target.</t>
        </is>
      </c>
    </row>
    <row r="32">
      <c r="A32" s="37" t="n">
        <v>4</v>
      </c>
      <c r="B32" s="38" t="inlineStr">
        <is>
          <t>AG GENERAL CONTRACTOR</t>
        </is>
      </c>
      <c r="C32" s="38" t="inlineStr">
        <is>
          <t>Guillermo Gaona and Pablo Allamand Sr.</t>
        </is>
      </c>
      <c r="D32" s="39" t="inlineStr">
        <is>
          <t>Unknown</t>
        </is>
      </c>
      <c r="E32" s="40" t="n">
        <v>46</v>
      </c>
      <c r="F32" s="39" t="inlineStr">
        <is>
          <t>FL</t>
        </is>
      </c>
      <c r="G32" s="44" t="n">
        <v>35</v>
      </c>
      <c r="H32" s="39" t="inlineStr">
        <is>
          <t>Founder-Led</t>
        </is>
      </c>
      <c r="I32" s="45" t="inlineStr">
        <is>
          <t>New</t>
        </is>
      </c>
      <c r="J32" s="38" t="inlineStr">
        <is>
          <t>Established contractor with strong leadership and 46 years of industry experience.</t>
        </is>
      </c>
    </row>
    <row r="33">
      <c r="A33" s="37" t="n">
        <v>5</v>
      </c>
      <c r="B33" s="38" t="inlineStr">
        <is>
          <t>AB Committed Capital</t>
        </is>
      </c>
      <c r="C33" s="38" t="inlineStr">
        <is>
          <t>Unknown</t>
        </is>
      </c>
      <c r="D33" s="39" t="inlineStr">
        <is>
          <t>Unknown</t>
        </is>
      </c>
      <c r="E33" s="40" t="n">
        <v>0</v>
      </c>
      <c r="F33" s="39" t="inlineStr">
        <is>
          <t>Unknown</t>
        </is>
      </c>
      <c r="G33" s="44" t="n">
        <v>25</v>
      </c>
      <c r="H33" s="39" t="inlineStr">
        <is>
          <t>Family-Owned</t>
        </is>
      </c>
      <c r="I33" s="45" t="inlineStr">
        <is>
          <t>New</t>
        </is>
      </c>
      <c r="J33" s="38" t="inlineStr">
        <is>
          <t>Strong acquisition target backed by successful family offices in private investment.</t>
        </is>
      </c>
    </row>
    <row r="34">
      <c r="A34" s="37" t="n">
        <v>6</v>
      </c>
      <c r="B34" s="38" t="inlineStr">
        <is>
          <t>AB Committed Capital</t>
        </is>
      </c>
      <c r="C34" s="38" t="inlineStr">
        <is>
          <t>Evan Bozymski, Nicholas Adam</t>
        </is>
      </c>
      <c r="D34" s="39" t="inlineStr">
        <is>
          <t>Unknown</t>
        </is>
      </c>
      <c r="E34" s="40" t="n">
        <v>3</v>
      </c>
      <c r="F34" s="39" t="inlineStr">
        <is>
          <t>Florida</t>
        </is>
      </c>
      <c r="G34" s="44" t="n">
        <v>25</v>
      </c>
      <c r="H34" s="39" t="inlineStr">
        <is>
          <t>Family-Owned, Founder-Led</t>
        </is>
      </c>
      <c r="I34" s="45" t="inlineStr">
        <is>
          <t>New</t>
        </is>
      </c>
      <c r="J34" s="38" t="inlineStr">
        <is>
          <t>AB Committed Capital is a promising family-owned investment firm with strong leadership.</t>
        </is>
      </c>
    </row>
    <row r="35">
      <c r="A35" s="37" t="n">
        <v>7</v>
      </c>
      <c r="B35" s="38" t="inlineStr">
        <is>
          <t>ALARM BROKERS OF FLORIDA LLC</t>
        </is>
      </c>
      <c r="C35" s="38" t="inlineStr">
        <is>
          <t>Steve Carulo and Mary Runno</t>
        </is>
      </c>
      <c r="D35" s="39" t="inlineStr">
        <is>
          <t>Unknown</t>
        </is>
      </c>
      <c r="E35" s="40" t="n">
        <v>10</v>
      </c>
      <c r="F35" s="39" t="inlineStr">
        <is>
          <t>Florida</t>
        </is>
      </c>
      <c r="G35" s="44" t="n">
        <v>10</v>
      </c>
      <c r="H35" s="39" t="inlineStr">
        <is>
          <t>Founder-Led</t>
        </is>
      </c>
      <c r="I35" s="45" t="inlineStr">
        <is>
          <t>New</t>
        </is>
      </c>
      <c r="J35" s="38" t="inlineStr">
        <is>
          <t>Strong acquisition target with industry expertise and high seller readiness.</t>
        </is>
      </c>
    </row>
    <row r="36">
      <c r="A36" s="37" t="n">
        <v>8</v>
      </c>
      <c r="B36" s="38" t="inlineStr">
        <is>
          <t>Air Pros USA</t>
        </is>
      </c>
      <c r="C36" s="38" t="inlineStr">
        <is>
          <t>Anthony Perera</t>
        </is>
      </c>
      <c r="D36" s="39" t="inlineStr">
        <is>
          <t>Unknown</t>
        </is>
      </c>
      <c r="E36" s="40" t="n">
        <v>9</v>
      </c>
      <c r="F36" s="39" t="inlineStr">
        <is>
          <t>Florida</t>
        </is>
      </c>
      <c r="G36" s="44" t="n">
        <v>0</v>
      </c>
      <c r="H36" s="39" t="inlineStr">
        <is>
          <t>Founder-Led</t>
        </is>
      </c>
      <c r="I36" s="45" t="inlineStr">
        <is>
          <t>New</t>
        </is>
      </c>
      <c r="J36" s="38" t="inlineStr">
        <is>
          <t>Air Pros USA is poised for growth under founder-led leadership.</t>
        </is>
      </c>
    </row>
    <row r="37">
      <c r="A37" s="37" t="n">
        <v>9</v>
      </c>
      <c r="B37" s="38" t="inlineStr">
        <is>
          <t>Altrius</t>
        </is>
      </c>
      <c r="C37" s="38" t="inlineStr">
        <is>
          <t>Unknown</t>
        </is>
      </c>
      <c r="D37" s="39" t="inlineStr">
        <is>
          <t>Unknown</t>
        </is>
      </c>
      <c r="E37" s="40" t="n">
        <v>6</v>
      </c>
      <c r="F37" s="39" t="inlineStr">
        <is>
          <t>Florida</t>
        </is>
      </c>
      <c r="G37" s="44" t="n">
        <v>0</v>
      </c>
      <c r="H37" s="39" t="inlineStr">
        <is>
          <t>Unknown</t>
        </is>
      </c>
      <c r="I37" s="45" t="inlineStr">
        <is>
          <t>New</t>
        </is>
      </c>
      <c r="J37" s="38" t="inlineStr">
        <is>
          <t>Altrius is a young insurance company with growth potential in Florida.</t>
        </is>
      </c>
    </row>
  </sheetData>
  <autoFilter ref="A28:J28"/>
  <mergeCells count="35">
    <mergeCell ref="J6:L6"/>
    <mergeCell ref="C6:D6"/>
    <mergeCell ref="K12:L13"/>
    <mergeCell ref="H1:I1"/>
    <mergeCell ref="E9:G9"/>
    <mergeCell ref="J9:L9"/>
    <mergeCell ref="J4:L4"/>
    <mergeCell ref="A6:B6"/>
    <mergeCell ref="E6:G6"/>
    <mergeCell ref="H9:I9"/>
    <mergeCell ref="K14:L15"/>
    <mergeCell ref="J7:L7"/>
    <mergeCell ref="A2:F2"/>
    <mergeCell ref="K11:L11"/>
    <mergeCell ref="H6:I6"/>
    <mergeCell ref="A7:B7"/>
    <mergeCell ref="D4:F4"/>
    <mergeCell ref="G4:I4"/>
    <mergeCell ref="C9:D9"/>
    <mergeCell ref="A4:C4"/>
    <mergeCell ref="E7:G7"/>
    <mergeCell ref="K16:L17"/>
    <mergeCell ref="J2:L2"/>
    <mergeCell ref="H2:I2"/>
    <mergeCell ref="H7:I7"/>
    <mergeCell ref="K18:L19"/>
    <mergeCell ref="J8:L8"/>
    <mergeCell ref="A8:B8"/>
    <mergeCell ref="C8:D8"/>
    <mergeCell ref="C7:D7"/>
    <mergeCell ref="A1:F1"/>
    <mergeCell ref="E8:G8"/>
    <mergeCell ref="K20:L25"/>
    <mergeCell ref="H8:I8"/>
    <mergeCell ref="A9:B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6" t="inlineStr">
        <is>
          <t>Company Name</t>
        </is>
      </c>
      <c r="B1" s="46" t="inlineStr">
        <is>
          <t>State</t>
        </is>
      </c>
      <c r="C1" s="46" t="inlineStr">
        <is>
          <t>Industry</t>
        </is>
      </c>
      <c r="D1" s="46" t="inlineStr">
        <is>
          <t>Company Type</t>
        </is>
      </c>
      <c r="E1" s="46" t="inlineStr">
        <is>
          <t>Founded Year</t>
        </is>
      </c>
      <c r="F1" s="46" t="inlineStr">
        <is>
          <t>Years in Business</t>
        </is>
      </c>
      <c r="G1" s="46" t="inlineStr">
        <is>
          <t>Founder Name</t>
        </is>
      </c>
      <c r="H1" s="46" t="inlineStr">
        <is>
          <t>Founder Led</t>
        </is>
      </c>
      <c r="I1" s="46" t="inlineStr">
        <is>
          <t>Family Owned</t>
        </is>
      </c>
      <c r="J1" s="46" t="inlineStr">
        <is>
          <t>Founder Age Est.</t>
        </is>
      </c>
      <c r="K1" s="46" t="inlineStr">
        <is>
          <t>Seller Readiness Score</t>
        </is>
      </c>
      <c r="L1" s="46" t="inlineStr">
        <is>
          <t>Review Status</t>
        </is>
      </c>
      <c r="M1" s="46" t="inlineStr">
        <is>
          <t>First Seen</t>
        </is>
      </c>
      <c r="N1" s="46" t="inlineStr">
        <is>
          <t>Last Seen</t>
        </is>
      </c>
    </row>
    <row r="2">
      <c r="A2" s="47" t="inlineStr">
        <is>
          <t>Arthrex</t>
        </is>
      </c>
      <c r="B2" s="47" t="inlineStr">
        <is>
          <t>Florida</t>
        </is>
      </c>
      <c r="C2" s="47" t="inlineStr">
        <is>
          <t>Medical Devices</t>
        </is>
      </c>
      <c r="D2" s="47" t="inlineStr">
        <is>
          <t>Private</t>
        </is>
      </c>
      <c r="E2" s="47" t="inlineStr">
        <is>
          <t>1980</t>
        </is>
      </c>
      <c r="F2" s="47" t="n">
        <v>46</v>
      </c>
      <c r="G2" s="47" t="inlineStr">
        <is>
          <t>Reinhold Schmieding</t>
        </is>
      </c>
      <c r="H2" s="47" t="inlineStr">
        <is>
          <t>Yes</t>
        </is>
      </c>
      <c r="I2" s="47" t="inlineStr">
        <is>
          <t>Yes</t>
        </is>
      </c>
      <c r="J2" s="47" t="inlineStr">
        <is>
          <t>Unknown</t>
        </is>
      </c>
      <c r="K2" s="48" t="n">
        <v>60</v>
      </c>
      <c r="L2" s="47" t="inlineStr">
        <is>
          <t>Pursuing</t>
        </is>
      </c>
      <c r="M2" s="49" t="n">
        <v>46195</v>
      </c>
      <c r="N2" s="49" t="n">
        <v>46195</v>
      </c>
    </row>
    <row r="3">
      <c r="A3" s="47" t="inlineStr">
        <is>
          <t>American Sugar Refining</t>
        </is>
      </c>
      <c r="B3" s="47" t="inlineStr">
        <is>
          <t>Florida</t>
        </is>
      </c>
      <c r="C3" s="47" t="inlineStr">
        <is>
          <t>Food</t>
        </is>
      </c>
      <c r="D3" s="47" t="inlineStr">
        <is>
          <t>Private</t>
        </is>
      </c>
      <c r="E3" s="47" t="inlineStr">
        <is>
          <t>1998</t>
        </is>
      </c>
      <c r="F3" s="47" t="n">
        <v>28</v>
      </c>
      <c r="G3" s="47" t="inlineStr">
        <is>
          <t>Florida Crystals Corporation and Sugar Cane Growers Cooperative of Florida</t>
        </is>
      </c>
      <c r="H3" s="47" t="inlineStr">
        <is>
          <t>Unknown</t>
        </is>
      </c>
      <c r="I3" s="47" t="inlineStr">
        <is>
          <t>Yes</t>
        </is>
      </c>
      <c r="J3" s="47" t="inlineStr">
        <is>
          <t>Unknown</t>
        </is>
      </c>
      <c r="K3" s="48" t="n">
        <v>45</v>
      </c>
      <c r="L3" s="47" t="inlineStr">
        <is>
          <t>Passed</t>
        </is>
      </c>
      <c r="M3" s="49" t="n">
        <v>46195</v>
      </c>
      <c r="N3" s="49" t="n">
        <v>46195</v>
      </c>
    </row>
    <row r="4">
      <c r="A4" s="47" t="inlineStr">
        <is>
          <t>Acosta</t>
        </is>
      </c>
      <c r="B4" s="47" t="inlineStr">
        <is>
          <t>Florida</t>
        </is>
      </c>
      <c r="C4" s="47" t="inlineStr">
        <is>
          <t>Business Services &amp; Supplies</t>
        </is>
      </c>
      <c r="D4" s="47" t="inlineStr">
        <is>
          <t>Unknown</t>
        </is>
      </c>
      <c r="E4" s="47" t="inlineStr">
        <is>
          <t>1927</t>
        </is>
      </c>
      <c r="F4" s="47" t="n">
        <v>99</v>
      </c>
      <c r="G4" s="47" t="inlineStr">
        <is>
          <t>L.T. Acosta</t>
        </is>
      </c>
      <c r="H4" s="47" t="inlineStr">
        <is>
          <t>No</t>
        </is>
      </c>
      <c r="I4" s="47" t="inlineStr">
        <is>
          <t>Unknown</t>
        </is>
      </c>
      <c r="J4" s="47" t="inlineStr">
        <is>
          <t>Unknown</t>
        </is>
      </c>
      <c r="K4" s="50" t="n">
        <v>35</v>
      </c>
      <c r="L4" s="47" t="inlineStr">
        <is>
          <t>New</t>
        </is>
      </c>
      <c r="M4" s="49" t="n">
        <v>46194</v>
      </c>
      <c r="N4" s="49" t="n">
        <v>46194</v>
      </c>
    </row>
    <row r="5">
      <c r="A5" s="47" t="inlineStr">
        <is>
          <t>AG GENERAL CONTRACTOR</t>
        </is>
      </c>
      <c r="B5" s="47" t="inlineStr">
        <is>
          <t>FL</t>
        </is>
      </c>
      <c r="C5" s="47" t="inlineStr">
        <is>
          <t>Residential Building Construction</t>
        </is>
      </c>
      <c r="D5" s="47" t="inlineStr">
        <is>
          <t>Private</t>
        </is>
      </c>
      <c r="E5" s="47" t="inlineStr">
        <is>
          <t>1980</t>
        </is>
      </c>
      <c r="F5" s="47" t="n">
        <v>46</v>
      </c>
      <c r="G5" s="47" t="inlineStr">
        <is>
          <t>Guillermo Gaona and Pablo Allamand Sr.</t>
        </is>
      </c>
      <c r="H5" s="47" t="inlineStr">
        <is>
          <t>Yes</t>
        </is>
      </c>
      <c r="I5" s="47" t="inlineStr">
        <is>
          <t>Unknown</t>
        </is>
      </c>
      <c r="J5" s="47" t="inlineStr">
        <is>
          <t>Unknown</t>
        </is>
      </c>
      <c r="K5" s="50" t="n">
        <v>35</v>
      </c>
      <c r="L5" s="47" t="inlineStr">
        <is>
          <t>New</t>
        </is>
      </c>
      <c r="M5" s="49" t="n">
        <v>46194</v>
      </c>
      <c r="N5" s="49" t="n">
        <v>46194</v>
      </c>
    </row>
    <row r="6">
      <c r="A6" s="47" t="inlineStr">
        <is>
          <t>AB Committed Capital</t>
        </is>
      </c>
      <c r="B6" s="47" t="inlineStr">
        <is>
          <t>Unknown</t>
        </is>
      </c>
      <c r="C6" s="47" t="inlineStr">
        <is>
          <t>Venture Capital and Private Equity Principals</t>
        </is>
      </c>
      <c r="D6" s="47" t="inlineStr">
        <is>
          <t>Private</t>
        </is>
      </c>
      <c r="E6" s="47" t="inlineStr">
        <is>
          <t>Unknown</t>
        </is>
      </c>
      <c r="F6" s="47" t="n">
        <v>0</v>
      </c>
      <c r="G6" s="47" t="inlineStr">
        <is>
          <t>Unknown</t>
        </is>
      </c>
      <c r="H6" s="47" t="inlineStr">
        <is>
          <t>Unknown</t>
        </is>
      </c>
      <c r="I6" s="47" t="inlineStr">
        <is>
          <t>Yes</t>
        </is>
      </c>
      <c r="J6" s="47" t="inlineStr">
        <is>
          <t>Unknown</t>
        </is>
      </c>
      <c r="K6" s="50" t="n">
        <v>25</v>
      </c>
      <c r="L6" s="47" t="inlineStr">
        <is>
          <t>New</t>
        </is>
      </c>
      <c r="M6" s="49" t="n">
        <v>46194</v>
      </c>
      <c r="N6" s="49" t="n">
        <v>46194</v>
      </c>
    </row>
    <row r="7">
      <c r="A7" s="47" t="inlineStr">
        <is>
          <t>AB Committed Capital</t>
        </is>
      </c>
      <c r="B7" s="47" t="inlineStr">
        <is>
          <t>Florida</t>
        </is>
      </c>
      <c r="C7" s="47" t="inlineStr">
        <is>
          <t>Investment</t>
        </is>
      </c>
      <c r="D7" s="47" t="inlineStr">
        <is>
          <t>Private</t>
        </is>
      </c>
      <c r="E7" s="47" t="inlineStr">
        <is>
          <t>2023</t>
        </is>
      </c>
      <c r="F7" s="47" t="n">
        <v>3</v>
      </c>
      <c r="G7" s="47" t="inlineStr">
        <is>
          <t>Evan Bozymski, Nicholas Adam</t>
        </is>
      </c>
      <c r="H7" s="47" t="inlineStr">
        <is>
          <t>Yes</t>
        </is>
      </c>
      <c r="I7" s="47" t="inlineStr">
        <is>
          <t>Yes</t>
        </is>
      </c>
      <c r="J7" s="47" t="inlineStr">
        <is>
          <t>Unknown</t>
        </is>
      </c>
      <c r="K7" s="50" t="n">
        <v>25</v>
      </c>
      <c r="L7" s="47" t="inlineStr">
        <is>
          <t>New</t>
        </is>
      </c>
      <c r="M7" s="49" t="n">
        <v>46194</v>
      </c>
      <c r="N7" s="49" t="n">
        <v>46194</v>
      </c>
    </row>
    <row r="8">
      <c r="A8" s="47" t="inlineStr">
        <is>
          <t>ALARM BROKERS OF FLORIDA LLC</t>
        </is>
      </c>
      <c r="B8" s="47" t="inlineStr">
        <is>
          <t>Florida</t>
        </is>
      </c>
      <c r="C8" s="47" t="inlineStr">
        <is>
          <t>Security and Investigations</t>
        </is>
      </c>
      <c r="D8" s="47" t="inlineStr">
        <is>
          <t>Unknown</t>
        </is>
      </c>
      <c r="E8" s="47" t="inlineStr">
        <is>
          <t>2016</t>
        </is>
      </c>
      <c r="F8" s="47" t="n">
        <v>10</v>
      </c>
      <c r="G8" s="47" t="inlineStr">
        <is>
          <t>Steve Carulo and Mary Runno</t>
        </is>
      </c>
      <c r="H8" s="47" t="inlineStr">
        <is>
          <t>Yes</t>
        </is>
      </c>
      <c r="I8" s="47" t="inlineStr">
        <is>
          <t>Unknown</t>
        </is>
      </c>
      <c r="J8" s="47" t="inlineStr">
        <is>
          <t>Unknown</t>
        </is>
      </c>
      <c r="K8" s="50" t="n">
        <v>10</v>
      </c>
      <c r="L8" s="47" t="inlineStr">
        <is>
          <t>New</t>
        </is>
      </c>
      <c r="M8" s="49" t="n">
        <v>46194</v>
      </c>
      <c r="N8" s="49" t="n">
        <v>46194</v>
      </c>
    </row>
    <row r="9">
      <c r="A9" s="47" t="inlineStr">
        <is>
          <t>Air Pros USA</t>
        </is>
      </c>
      <c r="B9" s="47" t="inlineStr">
        <is>
          <t>Florida</t>
        </is>
      </c>
      <c r="C9" s="47" t="inlineStr">
        <is>
          <t>HVAC and Refrigeration Equipment Manufacturing</t>
        </is>
      </c>
      <c r="D9" s="47" t="inlineStr">
        <is>
          <t>Private</t>
        </is>
      </c>
      <c r="E9" s="47" t="inlineStr">
        <is>
          <t>2017</t>
        </is>
      </c>
      <c r="F9" s="47" t="n">
        <v>9</v>
      </c>
      <c r="G9" s="47" t="inlineStr">
        <is>
          <t>Anthony Perera</t>
        </is>
      </c>
      <c r="H9" s="47" t="inlineStr">
        <is>
          <t>Yes</t>
        </is>
      </c>
      <c r="I9" s="47" t="inlineStr">
        <is>
          <t>Unknown</t>
        </is>
      </c>
      <c r="J9" s="47" t="inlineStr">
        <is>
          <t>Unknown</t>
        </is>
      </c>
      <c r="K9" s="50" t="n">
        <v>0</v>
      </c>
      <c r="L9" s="47" t="inlineStr">
        <is>
          <t>New</t>
        </is>
      </c>
      <c r="M9" s="49" t="n">
        <v>46194</v>
      </c>
      <c r="N9" s="49" t="n">
        <v>46194</v>
      </c>
    </row>
    <row r="10">
      <c r="A10" s="47" t="inlineStr">
        <is>
          <t>Altrius</t>
        </is>
      </c>
      <c r="B10" s="47" t="inlineStr">
        <is>
          <t>Florida</t>
        </is>
      </c>
      <c r="C10" s="47" t="inlineStr">
        <is>
          <t>Insurance</t>
        </is>
      </c>
      <c r="D10" s="47" t="inlineStr">
        <is>
          <t>Unknown</t>
        </is>
      </c>
      <c r="E10" s="47" t="inlineStr">
        <is>
          <t>2020</t>
        </is>
      </c>
      <c r="F10" s="47" t="n">
        <v>6</v>
      </c>
      <c r="G10" s="47" t="inlineStr">
        <is>
          <t>Unknown</t>
        </is>
      </c>
      <c r="H10" s="47" t="inlineStr">
        <is>
          <t>Unknown</t>
        </is>
      </c>
      <c r="I10" s="47" t="inlineStr">
        <is>
          <t>Unknown</t>
        </is>
      </c>
      <c r="J10" s="47" t="inlineStr">
        <is>
          <t>Unknown</t>
        </is>
      </c>
      <c r="K10" s="50" t="n">
        <v>0</v>
      </c>
      <c r="L10" s="47" t="inlineStr">
        <is>
          <t>New</t>
        </is>
      </c>
      <c r="M10" s="49" t="n">
        <v>46194</v>
      </c>
      <c r="N10" s="49" t="n">
        <v>46194</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6" t="inlineStr">
        <is>
          <t>Rank</t>
        </is>
      </c>
      <c r="B1" s="46" t="inlineStr">
        <is>
          <t>Company Name</t>
        </is>
      </c>
      <c r="C1" s="46" t="inlineStr">
        <is>
          <t>Score</t>
        </is>
      </c>
      <c r="D1" s="46" t="inlineStr">
        <is>
          <t>State</t>
        </is>
      </c>
      <c r="E1" s="46" t="inlineStr">
        <is>
          <t>Why Selected</t>
        </is>
      </c>
      <c r="F1" s="46" t="inlineStr">
        <is>
          <t>Evidence Summary</t>
        </is>
      </c>
      <c r="G1" s="46" t="inlineStr">
        <is>
          <t>One-line Reason</t>
        </is>
      </c>
      <c r="H1" s="46" t="inlineStr">
        <is>
          <t>Feedback</t>
        </is>
      </c>
      <c r="I1" s="46" t="inlineStr">
        <is>
          <t>Notes</t>
        </is>
      </c>
      <c r="J1" s="46" t="inlineStr">
        <is>
          <t>_candidate_id</t>
        </is>
      </c>
    </row>
    <row r="2" ht="90" customHeight="1">
      <c r="A2" s="51" t="n">
        <v>1</v>
      </c>
      <c r="B2" s="52" t="inlineStr">
        <is>
          <t>Arthrex</t>
        </is>
      </c>
      <c r="C2" s="53" t="n">
        <v>60</v>
      </c>
      <c r="D2" s="52" t="inlineStr">
        <is>
          <t>Florida</t>
        </is>
      </c>
      <c r="E2" s="52" t="inlineStr">
        <is>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is>
      </c>
      <c r="F2" s="52" t="inlineStr">
        <is>
          <t>The evidence indicates that Arthrex was founded in 1980 by Reinhold Schmieding, who is still leading the company as President, and it is described as a privately held family business.</t>
        </is>
      </c>
      <c r="G2" s="52" t="inlineStr">
        <is>
          <t>Arthrex's long history and family ownership make it an appealing acquisition target.</t>
        </is>
      </c>
      <c r="H2" s="52" t="inlineStr">
        <is>
          <t>Pursuing</t>
        </is>
      </c>
      <c r="I2" s="52" t="inlineStr"/>
      <c r="J2" s="52" t="n">
        <v>9</v>
      </c>
    </row>
    <row r="3" ht="90" customHeight="1">
      <c r="A3" s="51" t="n">
        <v>2</v>
      </c>
      <c r="B3" s="52" t="inlineStr">
        <is>
          <t>American Sugar Refining</t>
        </is>
      </c>
      <c r="C3" s="53" t="n">
        <v>45</v>
      </c>
      <c r="D3" s="52" t="inlineStr">
        <is>
          <t>Florida</t>
        </is>
      </c>
      <c r="E3" s="52" t="inlineStr">
        <is>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is>
      </c>
      <c r="F3" s="52" t="inlineStr">
        <is>
          <t>The company is part of a larger sugar empire owned by the Fanjul brothers, with origins in 19th-century sugar plantations, indicating a deep-rooted legacy in the industry. However, specific details about the founder's leadership and readiness for sale are limited.</t>
        </is>
      </c>
      <c r="G3" s="52" t="inlineStr">
        <is>
          <t>Established food industry player with strong family ownership and partnership structure.</t>
        </is>
      </c>
      <c r="H3" s="52" t="inlineStr">
        <is>
          <t>Passed</t>
        </is>
      </c>
      <c r="I3" s="52" t="inlineStr"/>
      <c r="J3" s="52" t="n">
        <v>8</v>
      </c>
    </row>
    <row r="4" ht="90" customHeight="1">
      <c r="A4" s="51" t="n">
        <v>3</v>
      </c>
      <c r="B4" s="52" t="inlineStr">
        <is>
          <t>Acosta</t>
        </is>
      </c>
      <c r="C4" s="54" t="n">
        <v>35</v>
      </c>
      <c r="D4" s="52" t="inlineStr">
        <is>
          <t>Florida</t>
        </is>
      </c>
      <c r="E4" s="52" t="inlineStr">
        <is>
          <t>Acosta is a well-established company with 99 years in the business services and supplies industry, indicating stability and experience. The current leadership under CEO Darian Pickett suggests a potential for growth and innovation, making it an attractive acquisition target.</t>
        </is>
      </c>
      <c r="F4" s="52" t="inlineStr">
        <is>
          <t>Founded in 1927 as L.T. Acosta Co. Inc. in Jacksonville, the company has a long history, although the seller readiness score of 35 indicates some challenges in readiness for sale.</t>
        </is>
      </c>
      <c r="G4" s="52" t="inlineStr">
        <is>
          <t>Acosta's 99 years in business make it a stable acquisition target.</t>
        </is>
      </c>
      <c r="H4" s="52" t="inlineStr">
        <is>
          <t>New</t>
        </is>
      </c>
      <c r="I4" s="52" t="inlineStr"/>
      <c r="J4" s="52" t="n">
        <v>6</v>
      </c>
    </row>
    <row r="5" ht="90" customHeight="1">
      <c r="A5" s="51" t="n">
        <v>4</v>
      </c>
      <c r="B5" s="52" t="inlineStr">
        <is>
          <t>AG GENERAL CONTRACTOR</t>
        </is>
      </c>
      <c r="C5" s="54" t="n">
        <v>35</v>
      </c>
      <c r="D5" s="52" t="inlineStr">
        <is>
          <t>FL</t>
        </is>
      </c>
      <c r="E5" s="52" t="inlineStr">
        <is>
          <t>AG General Contractor is a well-established company with 46 years in the residential building construction industry, indicating stability and experience. The founder-led structure suggests strong leadership and continuity, which can be attractive to potential acquirers.</t>
        </is>
      </c>
      <c r="F5" s="52" t="inlineStr">
        <is>
          <t>The company was founded in 1980 by Guillermo Gaona and Pablo Allamand Sr., and Pablo Allamand is currently listed as the registered agent and holds a managerial position, indicating ongoing founder involvement.</t>
        </is>
      </c>
      <c r="G5" s="52" t="inlineStr">
        <is>
          <t>Established contractor with strong leadership and 46 years of industry experience.</t>
        </is>
      </c>
      <c r="H5" s="52" t="inlineStr">
        <is>
          <t>New</t>
        </is>
      </c>
      <c r="I5" s="52" t="inlineStr"/>
      <c r="J5" s="52" t="n">
        <v>2</v>
      </c>
    </row>
    <row r="6" ht="90" customHeight="1">
      <c r="A6" s="51" t="n">
        <v>5</v>
      </c>
      <c r="B6" s="52" t="inlineStr">
        <is>
          <t>AB Committed Capital</t>
        </is>
      </c>
      <c r="C6" s="54" t="n">
        <v>25</v>
      </c>
      <c r="D6" s="52" t="inlineStr">
        <is>
          <t>Unknown</t>
        </is>
      </c>
      <c r="E6" s="52" t="inlineStr">
        <is>
          <t>AB Committed Capital is a strong acquisition target due to its backing from multiple family offices, indicating a solid financial foundation and potential for growth. Additionally, its focus on private investment positions it well within the venture capital and private equity industry.</t>
        </is>
      </c>
      <c r="F6" s="52" t="inlineStr">
        <is>
          <t>The evidence indicates that AB Committed Capital is supported by successful operators through family offices, although specific details about the company, such as its founding year and leadership, are limited.</t>
        </is>
      </c>
      <c r="G6" s="52" t="inlineStr">
        <is>
          <t>Strong acquisition target backed by successful family offices in private investment.</t>
        </is>
      </c>
      <c r="H6" s="52" t="inlineStr">
        <is>
          <t>New</t>
        </is>
      </c>
      <c r="I6" s="52" t="inlineStr"/>
      <c r="J6" s="52" t="n">
        <v>1</v>
      </c>
    </row>
    <row r="7" ht="90" customHeight="1">
      <c r="A7" s="51" t="n">
        <v>6</v>
      </c>
      <c r="B7" s="52" t="inlineStr">
        <is>
          <t>AB Committed Capital</t>
        </is>
      </c>
      <c r="C7" s="54" t="n">
        <v>25</v>
      </c>
      <c r="D7" s="52" t="inlineStr">
        <is>
          <t>Florida</t>
        </is>
      </c>
      <c r="E7" s="52" t="inlineStr">
        <is>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is>
      </c>
      <c r="F7" s="52" t="inlineStr">
        <is>
          <t>The company was founded in 2023 and is backed by multiple family offices, indicating it is family-owned. Additionally, the leadership roles of the founders provide a solid foundation for potential growth.</t>
        </is>
      </c>
      <c r="G7" s="52" t="inlineStr">
        <is>
          <t>AB Committed Capital is a promising family-owned investment firm with strong leadership.</t>
        </is>
      </c>
      <c r="H7" s="52" t="inlineStr">
        <is>
          <t>New</t>
        </is>
      </c>
      <c r="I7" s="52" t="inlineStr"/>
      <c r="J7" s="52" t="n">
        <v>7</v>
      </c>
    </row>
    <row r="8" ht="90" customHeight="1">
      <c r="A8" s="51" t="n">
        <v>7</v>
      </c>
      <c r="B8" s="52" t="inlineStr">
        <is>
          <t>ALARM BROKERS OF FLORIDA LLC</t>
        </is>
      </c>
      <c r="C8" s="54" t="n">
        <v>10</v>
      </c>
      <c r="D8" s="52" t="inlineStr">
        <is>
          <t>Florida</t>
        </is>
      </c>
      <c r="E8" s="52" t="inlineStr">
        <is>
          <t>Alarm Brokers of Florida LLC is a strong acquisition target due to its solid foundation in the security and investigations industry, established by experienced founders. With a high seller readiness score of 10, the company is well-prepared for acquisition.</t>
        </is>
      </c>
      <c r="F8" s="52" t="inlineStr">
        <is>
          <t>The company was founded by industry experts Steve Carulo and Mary Runno in 2016, and it has been in business for 10 years, indicating stability and expertise.</t>
        </is>
      </c>
      <c r="G8" s="52" t="inlineStr">
        <is>
          <t>Strong acquisition target with industry expertise and high seller readiness.</t>
        </is>
      </c>
      <c r="H8" s="52" t="inlineStr">
        <is>
          <t>New</t>
        </is>
      </c>
      <c r="I8" s="52" t="inlineStr"/>
      <c r="J8" s="52" t="n">
        <v>3</v>
      </c>
    </row>
    <row r="9" ht="90" customHeight="1">
      <c r="A9" s="51" t="n">
        <v>8</v>
      </c>
      <c r="B9" s="52" t="inlineStr">
        <is>
          <t>Air Pros USA</t>
        </is>
      </c>
      <c r="C9" s="54" t="n">
        <v>0</v>
      </c>
      <c r="D9" s="52" t="inlineStr">
        <is>
          <t>Florida</t>
        </is>
      </c>
      <c r="E9" s="52" t="inlineStr">
        <is>
          <t>Air Pros USA is a strong acquisition target due to its recent reacquisition by founder Anthony Perera, indicating a commitment to revitalizing the company. With 9 years in the HVAC and Refrigeration Equipment Manufacturing industry, it has established a foundation for growth under experienced leadership.</t>
        </is>
      </c>
      <c r="F9" s="52" t="inlineStr">
        <is>
          <t>The evidence indicates that Air Pros USA was founded in 2017 by Anthony Perera, who has recently reacquired the company, suggesting a strategic move to enhance its market position.</t>
        </is>
      </c>
      <c r="G9" s="52" t="inlineStr">
        <is>
          <t>Air Pros USA is poised for growth under founder-led leadership.</t>
        </is>
      </c>
      <c r="H9" s="52" t="inlineStr">
        <is>
          <t>New</t>
        </is>
      </c>
      <c r="I9" s="52" t="inlineStr"/>
      <c r="J9" s="52" t="n">
        <v>4</v>
      </c>
    </row>
    <row r="10" ht="90" customHeight="1">
      <c r="A10" s="51" t="n">
        <v>9</v>
      </c>
      <c r="B10" s="52" t="inlineStr">
        <is>
          <t>Altrius</t>
        </is>
      </c>
      <c r="C10" s="54" t="n">
        <v>0</v>
      </c>
      <c r="D10" s="52" t="inlineStr">
        <is>
          <t>Florida</t>
        </is>
      </c>
      <c r="E10" s="52" t="inlineStr">
        <is>
          <t>Altrius, a relatively new player in the insurance industry, has potential for growth given its recent establishment in 2020 and small team size. Its location in West Palm Beach, Florida, may also provide strategic advantages in a competitive market.</t>
        </is>
      </c>
      <c r="F10" s="52" t="inlineStr">
        <is>
          <t>Altrius Group was founded in 2020 and has a small employee base of 2-10, indicating a startup phase with room for expansion. However, the seller readiness score is 0, suggesting limited immediate availability for acquisition.</t>
        </is>
      </c>
      <c r="G10" s="52" t="inlineStr">
        <is>
          <t>Altrius is a young insurance company with growth potential in Florida.</t>
        </is>
      </c>
      <c r="H10" s="52" t="inlineStr">
        <is>
          <t>New</t>
        </is>
      </c>
      <c r="I10" s="52" t="inlineStr"/>
      <c r="J10" s="52" t="n">
        <v>5</v>
      </c>
    </row>
  </sheetData>
  <dataValidations count="1">
    <dataValidation sqref="H2 H3 H4 H5 H6 H7 H8 H9 H10"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2026-06-22T11:07:06Z</dcterms:created>
  <dcterms:modified xmlns:dcterms="http://purl.org/dc/terms/" xmlns:xsi="http://www.w3.org/2001/XMLSchema-instance" xsi:type="dcterms:W3CDTF">2026-06-22T11:07:06Z</dcterms:modified>
</cp:coreProperties>
</file>