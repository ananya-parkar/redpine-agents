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  <sheet xmlns:r="http://schemas.openxmlformats.org/officeDocument/2006/relationships" name="Feedback Learning" sheetId="9" state="visible" r:id="rId9"/>
  </sheets>
  <definedNames>
    <definedName name="_xlnm._FilterDatabase" localSheetId="2" hidden="1">'All Leads'!$A$1:$X$8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Tracker'!$A$1:$G$10</definedName>
    <definedName name="_xlnm._FilterDatabase" localSheetId="7" hidden="1">'CMBS Watchlist'!$A$1:$H$1</definedName>
    <definedName name="_xlnm._FilterDatabase" localSheetId="8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24, 2026 02:03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4</t>
        </is>
      </c>
      <c r="H5" s="12" t="n"/>
      <c r="I5" s="12" t="n"/>
      <c r="J5" s="13" t="inlineStr">
        <is>
          <t>Long-Term Owners
4</t>
        </is>
      </c>
      <c r="K5" s="14" t="n"/>
      <c r="L5" s="14" t="n"/>
      <c r="M5" s="15" t="inlineStr">
        <is>
          <t>Avg Opportunity
58.9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3.0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2026-06-23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Motel 6 Orlando, FL - International Dr</t>
        </is>
      </c>
      <c r="C24" s="25" t="inlineStr">
        <is>
          <t>Orlando</t>
        </is>
      </c>
      <c r="D24" s="25" t="inlineStr"/>
      <c r="E24" s="23" t="n">
        <v>86.40000000000001</v>
      </c>
      <c r="F24" s="25" t="inlineStr">
        <is>
          <t>★ 3.1</t>
        </is>
      </c>
      <c r="G24" s="25" t="inlineStr">
        <is>
          <t>75%</t>
        </is>
      </c>
      <c r="H24" s="26" t="inlineStr">
        <is>
          <t>Affiliated (G6)</t>
        </is>
      </c>
      <c r="I24" s="26" t="inlineStr">
        <is>
          <t>Old Property</t>
        </is>
      </c>
      <c r="J24" s="26" t="inlineStr">
        <is>
          <t>HARE KRISHNA UNIVERSAL LLC</t>
        </is>
      </c>
      <c r="K24" s="26" t="n">
        <v>5</v>
      </c>
      <c r="L24" s="23" t="inlineStr">
        <is>
          <t>New</t>
        </is>
      </c>
      <c r="M24" s="25" t="inlineStr">
        <is>
          <t>2026-06-23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La Quinta Inn by Wyndham Orlando International Drive North</t>
        </is>
      </c>
      <c r="C25" s="21" t="inlineStr">
        <is>
          <t>Orlando</t>
        </is>
      </c>
      <c r="D25" s="21" t="inlineStr"/>
      <c r="E25" s="27" t="n">
        <v>71.59999999999999</v>
      </c>
      <c r="F25" s="21" t="inlineStr">
        <is>
          <t>★ 3.5</t>
        </is>
      </c>
      <c r="G25" s="21" t="inlineStr">
        <is>
          <t>65%</t>
        </is>
      </c>
      <c r="H25" s="22" t="inlineStr">
        <is>
          <t>Affiliated (Wyndham)</t>
        </is>
      </c>
      <c r="I25" s="22" t="inlineStr">
        <is>
          <t>Long-Term Owner | Old Property</t>
        </is>
      </c>
      <c r="J25" s="22" t="inlineStr">
        <is>
          <t>DHA INVESTMENTS LLC</t>
        </is>
      </c>
      <c r="K25" s="22" t="n">
        <v>18</v>
      </c>
      <c r="L25" s="23" t="inlineStr">
        <is>
          <t>New</t>
        </is>
      </c>
      <c r="M25" s="21" t="inlineStr">
        <is>
          <t>2026-06-23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SureStay Plus By Best Western Orlando International Drive</t>
        </is>
      </c>
      <c r="C26" s="25" t="inlineStr">
        <is>
          <t>Orlando</t>
        </is>
      </c>
      <c r="D26" s="25" t="inlineStr"/>
      <c r="E26" s="27" t="n">
        <v>65.59999999999999</v>
      </c>
      <c r="F26" s="25" t="inlineStr">
        <is>
          <t>★ 3.5</t>
        </is>
      </c>
      <c r="G26" s="25" t="inlineStr">
        <is>
          <t>85%</t>
        </is>
      </c>
      <c r="H26" s="26" t="inlineStr">
        <is>
          <t>Affiliated (Best Western)</t>
        </is>
      </c>
      <c r="I26" s="26" t="inlineStr">
        <is>
          <t>Old Property</t>
        </is>
      </c>
      <c r="J26" s="26" t="inlineStr">
        <is>
          <t>MM INTERNATIONAL FAMILY RESORT LLC</t>
        </is>
      </c>
      <c r="K26" s="26" t="n">
        <v>1</v>
      </c>
      <c r="L26" s="23" t="inlineStr">
        <is>
          <t>New</t>
        </is>
      </c>
      <c r="M26" s="25" t="inlineStr">
        <is>
          <t>2026-06-23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Orlando Inn International Drive Area</t>
        </is>
      </c>
      <c r="C27" s="21" t="inlineStr">
        <is>
          <t>Orlando</t>
        </is>
      </c>
      <c r="D27" s="21" t="inlineStr"/>
      <c r="E27" s="27" t="n">
        <v>60.5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Independent</t>
        </is>
      </c>
      <c r="I27" s="22" t="inlineStr">
        <is>
          <t>Long-Term Owner | Old Property</t>
        </is>
      </c>
      <c r="J27" s="22" t="inlineStr">
        <is>
          <t>DONGXIANG INVESTMENT GROUP LLC</t>
        </is>
      </c>
      <c r="K27" s="22" t="n">
        <v>11</v>
      </c>
      <c r="L27" s="23" t="inlineStr">
        <is>
          <t>New</t>
        </is>
      </c>
      <c r="M27" s="21" t="inlineStr">
        <is>
          <t>2026-06-23</t>
        </is>
      </c>
      <c r="N27" s="24" t="inlineStr">
        <is>
          <t>—</t>
        </is>
      </c>
      <c r="O27" s="21" t="n"/>
      <c r="P27" s="22" t="inlineStr"/>
    </row>
    <row r="28" ht="20" customHeight="1">
      <c r="A28" s="25" t="n">
        <v>6</v>
      </c>
      <c r="B28" s="26" t="inlineStr">
        <is>
          <t>Four Points by Sheraton Orlando International Drive</t>
        </is>
      </c>
      <c r="C28" s="25" t="inlineStr">
        <is>
          <t>Orlando</t>
        </is>
      </c>
      <c r="D28" s="25" t="inlineStr"/>
      <c r="E28" s="25" t="n">
        <v>50.5</v>
      </c>
      <c r="F28" s="25" t="inlineStr">
        <is>
          <t>★ 2.8</t>
        </is>
      </c>
      <c r="G28" s="25" t="inlineStr">
        <is>
          <t>35%</t>
        </is>
      </c>
      <c r="H28" s="26" t="inlineStr">
        <is>
          <t>Affiliated (Marriott)</t>
        </is>
      </c>
      <c r="I28" s="26" t="inlineStr">
        <is>
          <t>Long-Term Owner | Old Property</t>
        </is>
      </c>
      <c r="J28" s="26" t="inlineStr">
        <is>
          <t>ORLANDO POINTS HOTEL LLC</t>
        </is>
      </c>
      <c r="K28" s="26" t="n">
        <v>10</v>
      </c>
      <c r="L28" s="23" t="inlineStr">
        <is>
          <t>New</t>
        </is>
      </c>
      <c r="M28" s="25" t="inlineStr">
        <is>
          <t>2026-06-23</t>
        </is>
      </c>
      <c r="N28" s="24" t="inlineStr">
        <is>
          <t>—</t>
        </is>
      </c>
      <c r="O28" s="25" t="n"/>
      <c r="P28" s="26" t="inlineStr"/>
    </row>
    <row r="29" ht="20" customHeight="1">
      <c r="A29" s="21" t="n">
        <v>7</v>
      </c>
      <c r="B29" s="22" t="inlineStr">
        <is>
          <t>Cambria Hotel Orlando Universal Blvd</t>
        </is>
      </c>
      <c r="C29" s="21" t="inlineStr">
        <is>
          <t>Orlando</t>
        </is>
      </c>
      <c r="D29" s="21" t="inlineStr"/>
      <c r="E29" s="21" t="n">
        <v>41.5</v>
      </c>
      <c r="F29" s="21" t="inlineStr">
        <is>
          <t>★ 3.0</t>
        </is>
      </c>
      <c r="G29" s="21" t="inlineStr">
        <is>
          <t>65%</t>
        </is>
      </c>
      <c r="H29" s="22" t="inlineStr">
        <is>
          <t>Independent</t>
        </is>
      </c>
      <c r="I29" s="22" t="inlineStr"/>
      <c r="J29" s="22" t="inlineStr">
        <is>
          <t>SAAR INTERNATIONAL HOTELS LLC</t>
        </is>
      </c>
      <c r="K29" s="22" t="n">
        <v>8</v>
      </c>
      <c r="L29" s="23" t="inlineStr">
        <is>
          <t>New</t>
        </is>
      </c>
      <c r="M29" s="21" t="inlineStr">
        <is>
          <t>2026-06-23</t>
        </is>
      </c>
      <c r="N29" s="24" t="inlineStr">
        <is>
          <t>—</t>
        </is>
      </c>
      <c r="O29" s="21" t="n"/>
      <c r="P29" s="22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3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4 distressed assets detected</t>
        </is>
      </c>
      <c r="I36" s="31" t="inlineStr">
        <is>
          <t>Distress scan</t>
        </is>
      </c>
      <c r="L36" s="33" t="inlineStr">
        <is>
          <t>Jun 24 2026</t>
        </is>
      </c>
      <c r="M36" s="33" t="inlineStr">
        <is>
          <t>All Markets</t>
        </is>
      </c>
      <c r="N36" s="33" t="n">
        <v>7</v>
      </c>
      <c r="O36" s="33" t="n">
        <v>3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7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02:03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2</v>
      </c>
    </row>
    <row r="4">
      <c r="J4" t="inlineStr">
        <is>
          <t>40-60</t>
        </is>
      </c>
      <c r="K4" t="n">
        <v>1</v>
      </c>
    </row>
    <row r="5">
      <c r="J5" t="inlineStr">
        <is>
          <t>60-80</t>
        </is>
      </c>
      <c r="K5" t="n">
        <v>4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High Opportunity</t>
        </is>
      </c>
      <c r="E101" t="n">
        <v>43</v>
      </c>
      <c r="G101" t="inlineStr">
        <is>
          <t>Orlando</t>
        </is>
      </c>
      <c r="H101" t="n">
        <v>68</v>
      </c>
    </row>
    <row r="102">
      <c r="A102" t="inlineStr">
        <is>
          <t>60-79 High</t>
        </is>
      </c>
      <c r="B102" t="n">
        <v>3</v>
      </c>
      <c r="D102" t="inlineStr">
        <is>
          <t>Long-Term Owner</t>
        </is>
      </c>
      <c r="E102" t="n">
        <v>57</v>
      </c>
    </row>
    <row r="103">
      <c r="A103" t="inlineStr">
        <is>
          <t>40-59 Moderate</t>
        </is>
      </c>
      <c r="B103" t="n">
        <v>2</v>
      </c>
      <c r="D103" t="inlineStr">
        <is>
          <t>High Distress</t>
        </is>
      </c>
      <c r="E103" t="n">
        <v>57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71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86</v>
      </c>
    </row>
    <row r="201">
      <c r="A201" t="inlineStr">
        <is>
          <t>New</t>
        </is>
      </c>
      <c r="B201" t="n">
        <v>7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  <col width="30" customWidth="1" min="24" max="24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Feedback Reason</t>
        </is>
      </c>
      <c r="T1" s="34" t="inlineStr">
        <is>
          <t>Feedback Notes</t>
        </is>
      </c>
      <c r="U1" s="34" t="inlineStr">
        <is>
          <t>Notes</t>
        </is>
      </c>
      <c r="V1" s="34" t="inlineStr">
        <is>
          <t>Price Tier</t>
        </is>
      </c>
      <c r="W1" s="34" t="inlineStr">
        <is>
          <t>Date First Surfaced</t>
        </is>
      </c>
      <c r="X1" s="34" t="inlineStr">
        <is>
          <t>Mailing Address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100</v>
      </c>
      <c r="E2" s="25" t="n">
        <v>55</v>
      </c>
      <c r="F2" s="25" t="n">
        <v>3</v>
      </c>
      <c r="G2" s="25" t="n">
        <v>0.85</v>
      </c>
      <c r="H2" s="26" t="inlineStr">
        <is>
          <t>DONGXIANG INVESTMENT GROUP LLC</t>
        </is>
      </c>
      <c r="I2" s="25" t="n">
        <v>11</v>
      </c>
      <c r="J2" s="25" t="n">
        <v>42</v>
      </c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25" t="inlineStr"/>
      <c r="U2" s="25" t="inlineStr"/>
      <c r="V2" s="25" t="inlineStr">
        <is>
          <t>Economy</t>
        </is>
      </c>
      <c r="W2" s="35" t="n">
        <v>46196.30554147597</v>
      </c>
      <c r="X2" s="25" t="inlineStr">
        <is>
          <t>8566 NW 19TH DR, CORAL SPRINGS, FL 33071-6151</t>
        </is>
      </c>
    </row>
    <row r="3" ht="18" customHeight="1">
      <c r="A3" s="22" t="inlineStr">
        <is>
          <t>Motel 6 Orlando, FL - International Dr</t>
        </is>
      </c>
      <c r="B3" s="22" t="inlineStr">
        <is>
          <t>Orlando</t>
        </is>
      </c>
      <c r="C3" s="21" t="inlineStr"/>
      <c r="D3" s="23" t="n">
        <v>86.40000000000001</v>
      </c>
      <c r="E3" s="21" t="n">
        <v>58</v>
      </c>
      <c r="F3" s="21" t="n">
        <v>3.1</v>
      </c>
      <c r="G3" s="21" t="n">
        <v>0.75</v>
      </c>
      <c r="H3" s="22" t="inlineStr">
        <is>
          <t>HARE KRISHNA UNIVERSAL LLC</t>
        </is>
      </c>
      <c r="I3" s="21" t="n">
        <v>5</v>
      </c>
      <c r="J3" s="21" t="n">
        <v>24</v>
      </c>
      <c r="K3" s="21" t="n"/>
      <c r="L3" s="21" t="inlineStr">
        <is>
          <t>G6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Old Property</t>
        </is>
      </c>
      <c r="R3" s="23" t="inlineStr">
        <is>
          <t>New</t>
        </is>
      </c>
      <c r="S3" s="22" t="inlineStr"/>
      <c r="T3" s="21" t="inlineStr"/>
      <c r="U3" s="21" t="inlineStr"/>
      <c r="V3" s="21" t="inlineStr">
        <is>
          <t>Economy</t>
        </is>
      </c>
      <c r="W3" s="36" t="n">
        <v>46196.30554147597</v>
      </c>
      <c r="X3" s="21" t="inlineStr">
        <is>
          <t>2030 AVALON PKWY, MCDONOUGH, GA 30253-3096</t>
        </is>
      </c>
    </row>
    <row r="4" ht="18" customHeight="1">
      <c r="A4" s="26" t="inlineStr">
        <is>
          <t>La Quinta Inn by Wyndham Orlando International Drive North</t>
        </is>
      </c>
      <c r="B4" s="26" t="inlineStr">
        <is>
          <t>Orlando</t>
        </is>
      </c>
      <c r="C4" s="25" t="inlineStr"/>
      <c r="D4" s="27" t="n">
        <v>71.59999999999999</v>
      </c>
      <c r="E4" s="25" t="n">
        <v>62</v>
      </c>
      <c r="F4" s="25" t="n">
        <v>3.5</v>
      </c>
      <c r="G4" s="25" t="n">
        <v>0.65</v>
      </c>
      <c r="H4" s="26" t="inlineStr">
        <is>
          <t>DHA INVESTMENTS LLC</t>
        </is>
      </c>
      <c r="I4" s="25" t="n">
        <v>18</v>
      </c>
      <c r="J4" s="25" t="n">
        <v>53</v>
      </c>
      <c r="K4" s="25" t="n"/>
      <c r="L4" s="25" t="inlineStr">
        <is>
          <t>Wyndham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>
        <is>
          <t>Long-Term Owner | Old Property</t>
        </is>
      </c>
      <c r="R4" s="23" t="inlineStr">
        <is>
          <t>New</t>
        </is>
      </c>
      <c r="S4" s="26" t="inlineStr"/>
      <c r="T4" s="25" t="inlineStr"/>
      <c r="U4" s="25" t="inlineStr"/>
      <c r="V4" s="25" t="inlineStr">
        <is>
          <t>Economy</t>
        </is>
      </c>
      <c r="W4" s="35" t="n">
        <v>46196.30554147597</v>
      </c>
      <c r="X4" s="25" t="inlineStr">
        <is>
          <t>291 S LA CIENEGA BLVD, BEVERLY HILLS, CA 90211-3309</t>
        </is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7" t="n">
        <v>65.59999999999999</v>
      </c>
      <c r="E5" s="21" t="n">
        <v>72</v>
      </c>
      <c r="F5" s="21" t="n">
        <v>3.5</v>
      </c>
      <c r="G5" s="21" t="n">
        <v>0.85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/>
      <c r="T5" s="21" t="inlineStr"/>
      <c r="U5" s="21" t="inlineStr"/>
      <c r="V5" s="21" t="inlineStr">
        <is>
          <t>Midscale</t>
        </is>
      </c>
      <c r="W5" s="36" t="n">
        <v>46196.30554147597</v>
      </c>
      <c r="X5" s="21" t="inlineStr">
        <is>
          <t>8367 VIA ROSA, ORLANDO, FL 32836-8788</t>
        </is>
      </c>
    </row>
    <row r="6" ht="18" customHeight="1">
      <c r="A6" s="26" t="inlineStr">
        <is>
          <t>Orlando Inn International Drive Area</t>
        </is>
      </c>
      <c r="B6" s="26" t="inlineStr">
        <is>
          <t>Orlando</t>
        </is>
      </c>
      <c r="C6" s="25" t="inlineStr"/>
      <c r="D6" s="27" t="n">
        <v>60.5</v>
      </c>
      <c r="E6" s="25" t="n">
        <v>65</v>
      </c>
      <c r="F6" s="25" t="n">
        <v>3.2</v>
      </c>
      <c r="G6" s="25" t="n">
        <v>0.75</v>
      </c>
      <c r="H6" s="26" t="inlineStr">
        <is>
          <t>DONGXIANG INVESTMENT GROUP LLC</t>
        </is>
      </c>
      <c r="I6" s="25" t="n">
        <v>11</v>
      </c>
      <c r="J6" s="25" t="n">
        <v>42</v>
      </c>
      <c r="K6" s="25" t="n"/>
      <c r="L6" s="25" t="inlineStr"/>
      <c r="M6" s="25" t="b">
        <v>0</v>
      </c>
      <c r="N6" s="25" t="b">
        <v>0</v>
      </c>
      <c r="O6" s="25" t="b">
        <v>0</v>
      </c>
      <c r="P6" s="25" t="b">
        <v>0</v>
      </c>
      <c r="Q6" s="26" t="inlineStr">
        <is>
          <t>Long-Term Owner | Old Property</t>
        </is>
      </c>
      <c r="R6" s="23" t="inlineStr">
        <is>
          <t>New</t>
        </is>
      </c>
      <c r="S6" s="26" t="inlineStr"/>
      <c r="T6" s="25" t="inlineStr"/>
      <c r="U6" s="25" t="inlineStr"/>
      <c r="V6" s="25" t="inlineStr"/>
      <c r="W6" s="35" t="n">
        <v>46196.30554147597</v>
      </c>
      <c r="X6" s="25" t="inlineStr">
        <is>
          <t>8566 NW 19TH DR, CORAL SPRINGS, FL 33071-6151</t>
        </is>
      </c>
    </row>
    <row r="7" ht="18" customHeight="1">
      <c r="A7" s="22" t="inlineStr">
        <is>
          <t>Four Points by Sheraton Orlando International Drive</t>
        </is>
      </c>
      <c r="B7" s="22" t="inlineStr">
        <is>
          <t>Orlando</t>
        </is>
      </c>
      <c r="C7" s="21" t="inlineStr"/>
      <c r="D7" s="21" t="n">
        <v>50.5</v>
      </c>
      <c r="E7" s="21" t="n">
        <v>45</v>
      </c>
      <c r="F7" s="21" t="n">
        <v>2.8</v>
      </c>
      <c r="G7" s="21" t="n">
        <v>0.35</v>
      </c>
      <c r="H7" s="22" t="inlineStr">
        <is>
          <t>ORLANDO POINTS HOTEL LLC</t>
        </is>
      </c>
      <c r="I7" s="21" t="n">
        <v>10</v>
      </c>
      <c r="J7" s="21" t="n">
        <v>52</v>
      </c>
      <c r="K7" s="21" t="n"/>
      <c r="L7" s="21" t="inlineStr">
        <is>
          <t>Marriott</t>
        </is>
      </c>
      <c r="M7" s="21" t="b">
        <v>1</v>
      </c>
      <c r="N7" s="21" t="b">
        <v>0</v>
      </c>
      <c r="O7" s="21" t="b">
        <v>0</v>
      </c>
      <c r="P7" s="21" t="b">
        <v>0</v>
      </c>
      <c r="Q7" s="22" t="inlineStr">
        <is>
          <t>Long-Term Owner | Old Property</t>
        </is>
      </c>
      <c r="R7" s="23" t="inlineStr">
        <is>
          <t>New</t>
        </is>
      </c>
      <c r="S7" s="22" t="inlineStr"/>
      <c r="T7" s="21" t="inlineStr"/>
      <c r="U7" s="21" t="inlineStr"/>
      <c r="V7" s="21" t="inlineStr">
        <is>
          <t>Upscale</t>
        </is>
      </c>
      <c r="W7" s="36" t="n">
        <v>46196.30554147597</v>
      </c>
      <c r="X7" s="21" t="inlineStr">
        <is>
          <t>11605 HAYNES BRIDGE RD, ALPHARETTA, GA 30009-8666</t>
        </is>
      </c>
    </row>
    <row r="8" ht="18" customHeight="1">
      <c r="A8" s="26" t="inlineStr">
        <is>
          <t>Cambria Hotel Orlando Universal Blvd</t>
        </is>
      </c>
      <c r="B8" s="26" t="inlineStr">
        <is>
          <t>Orlando</t>
        </is>
      </c>
      <c r="C8" s="25" t="inlineStr"/>
      <c r="D8" s="24" t="n">
        <v>41.5</v>
      </c>
      <c r="E8" s="25" t="n">
        <v>55</v>
      </c>
      <c r="F8" s="25" t="n">
        <v>3</v>
      </c>
      <c r="G8" s="25" t="n">
        <v>0.65</v>
      </c>
      <c r="H8" s="26" t="inlineStr">
        <is>
          <t>SAAR INTERNATIONAL HOTELS LLC</t>
        </is>
      </c>
      <c r="I8" s="25" t="n">
        <v>8</v>
      </c>
      <c r="J8" s="25" t="n">
        <v>3</v>
      </c>
      <c r="K8" s="25" t="n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/>
      <c r="R8" s="23" t="inlineStr">
        <is>
          <t>New</t>
        </is>
      </c>
      <c r="S8" s="26" t="inlineStr"/>
      <c r="T8" s="25" t="inlineStr"/>
      <c r="U8" s="25" t="inlineStr"/>
      <c r="V8" s="25" t="inlineStr"/>
      <c r="W8" s="35" t="n">
        <v>46196.30554147597</v>
      </c>
      <c r="X8" s="25" t="inlineStr">
        <is>
          <t>479 MONTGOMERY PL, ALTAMONTE SPRINGS, FL 32714-3100</t>
        </is>
      </c>
    </row>
  </sheetData>
  <autoFilter ref="A1:X8"/>
  <conditionalFormatting sqref="D2:D8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8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Price Tier</t>
        </is>
      </c>
      <c r="E1" s="34" t="inlineStr">
        <is>
          <t>Lead Score</t>
        </is>
      </c>
      <c r="F1" s="34" t="inlineStr">
        <is>
          <t>Opp. Score</t>
        </is>
      </c>
      <c r="G1" s="34" t="inlineStr">
        <is>
          <t>Owner</t>
        </is>
      </c>
      <c r="H1" s="34" t="inlineStr">
        <is>
          <t>Own. Years</t>
        </is>
      </c>
      <c r="I1" s="34" t="inlineStr">
        <is>
          <t>Signals</t>
        </is>
      </c>
      <c r="J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100</v>
      </c>
      <c r="F2" s="25" t="n">
        <v>55</v>
      </c>
      <c r="G2" s="25" t="inlineStr">
        <is>
          <t>DONGXIANG INVESTMENT GROUP LLC</t>
        </is>
      </c>
      <c r="H2" s="25" t="n">
        <v>11</v>
      </c>
      <c r="I2" s="25" t="inlineStr">
        <is>
          <t>Long-Term Owner | Old Property</t>
        </is>
      </c>
      <c r="J2" s="25" t="inlineStr">
        <is>
          <t>New</t>
        </is>
      </c>
    </row>
    <row r="3" ht="18" customHeight="1">
      <c r="A3" s="22" t="inlineStr">
        <is>
          <t>Motel 6 Orlando, FL - International Dr</t>
        </is>
      </c>
      <c r="B3" s="21" t="inlineStr">
        <is>
          <t>Orlando</t>
        </is>
      </c>
      <c r="C3" s="21" t="inlineStr"/>
      <c r="D3" s="21" t="inlineStr">
        <is>
          <t>Economy</t>
        </is>
      </c>
      <c r="E3" s="21" t="n">
        <v>86.40000000000001</v>
      </c>
      <c r="F3" s="21" t="n">
        <v>58</v>
      </c>
      <c r="G3" s="21" t="inlineStr">
        <is>
          <t>HARE KRISHNA UNIVERSAL LLC</t>
        </is>
      </c>
      <c r="H3" s="21" t="n">
        <v>5</v>
      </c>
      <c r="I3" s="21" t="inlineStr">
        <is>
          <t>Old Property</t>
        </is>
      </c>
      <c r="J3" s="21" t="inlineStr">
        <is>
          <t>New</t>
        </is>
      </c>
    </row>
    <row r="4" ht="18" customHeight="1">
      <c r="A4" s="26" t="inlineStr">
        <is>
          <t>La Quinta Inn by Wyndham Orlando International Drive North</t>
        </is>
      </c>
      <c r="B4" s="25" t="inlineStr">
        <is>
          <t>Orlando</t>
        </is>
      </c>
      <c r="C4" s="25" t="inlineStr"/>
      <c r="D4" s="25" t="inlineStr">
        <is>
          <t>Economy</t>
        </is>
      </c>
      <c r="E4" s="25" t="n">
        <v>71.59999999999999</v>
      </c>
      <c r="F4" s="25" t="n">
        <v>62</v>
      </c>
      <c r="G4" s="25" t="inlineStr">
        <is>
          <t>DHA INVESTMENTS LLC</t>
        </is>
      </c>
      <c r="H4" s="25" t="n">
        <v>18</v>
      </c>
      <c r="I4" s="25" t="inlineStr">
        <is>
          <t>Long-Term Owner | Old Property</t>
        </is>
      </c>
      <c r="J4" s="25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Mailing Address</t>
        </is>
      </c>
      <c r="D1" s="34" t="inlineStr">
        <is>
          <t>Owned Since</t>
        </is>
      </c>
      <c r="E1" s="34" t="inlineStr">
        <is>
          <t>Years Owned</t>
        </is>
      </c>
      <c r="F1" s="34" t="inlineStr">
        <is>
          <t>Prop. Age</t>
        </is>
      </c>
      <c r="G1" s="34" t="inlineStr">
        <is>
          <t>Lead Score</t>
        </is>
      </c>
      <c r="H1" s="34" t="inlineStr">
        <is>
          <t>Status</t>
        </is>
      </c>
    </row>
    <row r="2" ht="18" customHeight="1">
      <c r="A2" s="26" t="inlineStr">
        <is>
          <t>La Quinta Inn by Wyndham Orlando International Drive North</t>
        </is>
      </c>
      <c r="B2" s="25" t="inlineStr">
        <is>
          <t>DHA INVESTMENTS LLC</t>
        </is>
      </c>
      <c r="C2" s="25" t="inlineStr">
        <is>
          <t>291 S LA CIENEGA BLVD, BEVERLY HILLS, CA 90211-3309</t>
        </is>
      </c>
      <c r="D2" s="37" t="n">
        <v>39457</v>
      </c>
      <c r="E2" s="25" t="n">
        <v>18</v>
      </c>
      <c r="F2" s="25" t="n">
        <v>53</v>
      </c>
      <c r="G2" s="25" t="n">
        <v>71.59999999999999</v>
      </c>
      <c r="H2" s="25" t="inlineStr">
        <is>
          <t>New</t>
        </is>
      </c>
    </row>
    <row r="3" ht="18" customHeight="1">
      <c r="A3" s="22" t="inlineStr">
        <is>
          <t>Super 8 by Wyndham Orlando International Drive</t>
        </is>
      </c>
      <c r="B3" s="21" t="inlineStr">
        <is>
          <t>DONGXIANG INVESTMENT GROUP LLC</t>
        </is>
      </c>
      <c r="C3" s="21" t="inlineStr">
        <is>
          <t>8566 NW 19TH DR, CORAL SPRINGS, FL 33071-6151</t>
        </is>
      </c>
      <c r="D3" s="38" t="n">
        <v>42312</v>
      </c>
      <c r="E3" s="21" t="n">
        <v>11</v>
      </c>
      <c r="F3" s="21" t="n">
        <v>42</v>
      </c>
      <c r="G3" s="21" t="n">
        <v>100</v>
      </c>
      <c r="H3" s="21" t="inlineStr">
        <is>
          <t>New</t>
        </is>
      </c>
    </row>
    <row r="4" ht="18" customHeight="1">
      <c r="A4" s="26" t="inlineStr">
        <is>
          <t>Orlando Inn International Drive Area</t>
        </is>
      </c>
      <c r="B4" s="25" t="inlineStr">
        <is>
          <t>DONGXIANG INVESTMENT GROUP LLC</t>
        </is>
      </c>
      <c r="C4" s="25" t="inlineStr">
        <is>
          <t>8566 NW 19TH DR, CORAL SPRINGS, FL 33071-6151</t>
        </is>
      </c>
      <c r="D4" s="37" t="n">
        <v>42312</v>
      </c>
      <c r="E4" s="25" t="n">
        <v>11</v>
      </c>
      <c r="F4" s="25" t="n">
        <v>42</v>
      </c>
      <c r="G4" s="25" t="n">
        <v>60.5</v>
      </c>
      <c r="H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 POINTS HOTEL LLC</t>
        </is>
      </c>
      <c r="C5" s="21" t="inlineStr">
        <is>
          <t>11605 HAYNES BRIDGE RD, ALPHARETTA, GA 30009-8666</t>
        </is>
      </c>
      <c r="D5" s="38" t="n">
        <v>42396</v>
      </c>
      <c r="E5" s="21" t="n">
        <v>10</v>
      </c>
      <c r="F5" s="21" t="n">
        <v>52</v>
      </c>
      <c r="G5" s="21" t="n">
        <v>50.5</v>
      </c>
      <c r="H5" s="21" t="inlineStr">
        <is>
          <t>New</t>
        </is>
      </c>
    </row>
    <row r="6" ht="18" customHeight="1">
      <c r="A6" s="26" t="inlineStr">
        <is>
          <t>Cambria Hotel Orlando Universal Blvd</t>
        </is>
      </c>
      <c r="B6" s="25" t="inlineStr">
        <is>
          <t>SAAR INTERNATIONAL HOTELS LLC</t>
        </is>
      </c>
      <c r="C6" s="25" t="inlineStr">
        <is>
          <t>479 MONTGOMERY PL, ALTAMONTE SPRINGS, FL 32714-3100</t>
        </is>
      </c>
      <c r="D6" s="37" t="n">
        <v>43308</v>
      </c>
      <c r="E6" s="25" t="n">
        <v>8</v>
      </c>
      <c r="F6" s="25" t="n">
        <v>3</v>
      </c>
      <c r="G6" s="25" t="n">
        <v>41.5</v>
      </c>
      <c r="H6" s="25" t="inlineStr">
        <is>
          <t>New</t>
        </is>
      </c>
    </row>
    <row r="7" ht="18" customHeight="1">
      <c r="A7" s="22" t="inlineStr">
        <is>
          <t>Motel 6 Orlando, FL - International Dr</t>
        </is>
      </c>
      <c r="B7" s="21" t="inlineStr">
        <is>
          <t>HARE KRISHNA UNIVERSAL LLC</t>
        </is>
      </c>
      <c r="C7" s="21" t="inlineStr">
        <is>
          <t>2030 AVALON PKWY, MCDONOUGH, GA 30253-3096</t>
        </is>
      </c>
      <c r="D7" s="38" t="n">
        <v>44483</v>
      </c>
      <c r="E7" s="21" t="n">
        <v>5</v>
      </c>
      <c r="F7" s="21" t="n">
        <v>24</v>
      </c>
      <c r="G7" s="21" t="n">
        <v>86.40000000000001</v>
      </c>
      <c r="H7" s="21" t="inlineStr">
        <is>
          <t>New</t>
        </is>
      </c>
    </row>
    <row r="8" ht="18" customHeight="1">
      <c r="A8" s="26" t="inlineStr">
        <is>
          <t>SureStay Plus By Best Western Orlando International Drive</t>
        </is>
      </c>
      <c r="B8" s="25" t="inlineStr">
        <is>
          <t>MM INTERNATIONAL FAMILY RESORT LLC</t>
        </is>
      </c>
      <c r="C8" s="25" t="inlineStr">
        <is>
          <t>8367 VIA ROSA, ORLANDO, FL 32836-8788</t>
        </is>
      </c>
      <c r="D8" s="37" t="n">
        <v>45887</v>
      </c>
      <c r="E8" s="25" t="n">
        <v>1</v>
      </c>
      <c r="F8" s="25" t="n">
        <v>43</v>
      </c>
      <c r="G8" s="25" t="n">
        <v>65.59999999999999</v>
      </c>
      <c r="H8" s="25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Long-Term Owner | Old Property</t>
        </is>
      </c>
      <c r="C2" s="25" t="n">
        <v>0.85</v>
      </c>
      <c r="D2" s="25" t="n">
        <v>0.7</v>
      </c>
      <c r="E2" s="25" t="n">
        <v>100</v>
      </c>
      <c r="F2" s="25" t="inlineStr">
        <is>
          <t>New</t>
        </is>
      </c>
    </row>
    <row r="3" ht="18" customHeight="1">
      <c r="A3" s="22" t="inlineStr">
        <is>
          <t>SureStay Plus By Best Western Orlando International Drive</t>
        </is>
      </c>
      <c r="B3" s="21" t="inlineStr">
        <is>
          <t>Old Property</t>
        </is>
      </c>
      <c r="C3" s="21" t="n">
        <v>0.85</v>
      </c>
      <c r="D3" s="21" t="n">
        <v>0.3</v>
      </c>
      <c r="E3" s="21" t="n">
        <v>65.59999999999999</v>
      </c>
      <c r="F3" s="21" t="inlineStr">
        <is>
          <t>New</t>
        </is>
      </c>
    </row>
    <row r="4" ht="18" customHeight="1">
      <c r="A4" s="26" t="inlineStr">
        <is>
          <t>Motel 6 Orlando, FL - International Dr</t>
        </is>
      </c>
      <c r="B4" s="25" t="inlineStr">
        <is>
          <t>Old Property</t>
        </is>
      </c>
      <c r="C4" s="25" t="n">
        <v>0.75</v>
      </c>
      <c r="D4" s="25" t="n">
        <v>0.45</v>
      </c>
      <c r="E4" s="25" t="n">
        <v>86.40000000000001</v>
      </c>
      <c r="F4" s="25" t="inlineStr">
        <is>
          <t>New</t>
        </is>
      </c>
    </row>
    <row r="5" ht="18" customHeight="1">
      <c r="A5" s="22" t="inlineStr">
        <is>
          <t>Orlando Inn International Drive Area</t>
        </is>
      </c>
      <c r="B5" s="21" t="inlineStr">
        <is>
          <t>Long-Term Owner | Old Property</t>
        </is>
      </c>
      <c r="C5" s="21" t="n">
        <v>0.75</v>
      </c>
      <c r="D5" s="21" t="n">
        <v>0.65</v>
      </c>
      <c r="E5" s="21" t="n">
        <v>60.5</v>
      </c>
      <c r="F5" s="21" t="inlineStr">
        <is>
          <t>New</t>
        </is>
      </c>
    </row>
    <row r="6" ht="18" customHeight="1">
      <c r="A6" s="26" t="inlineStr">
        <is>
          <t>La Quinta Inn by Wyndham Orlando International Drive North</t>
        </is>
      </c>
      <c r="B6" s="25" t="inlineStr">
        <is>
          <t>Long-Term Owner | Old Property</t>
        </is>
      </c>
      <c r="C6" s="25" t="n">
        <v>0.65</v>
      </c>
      <c r="D6" s="25" t="n">
        <v>0.75</v>
      </c>
      <c r="E6" s="25" t="n">
        <v>71.59999999999999</v>
      </c>
      <c r="F6" s="25" t="inlineStr">
        <is>
          <t>New</t>
        </is>
      </c>
    </row>
    <row r="7" ht="18" customHeight="1">
      <c r="A7" s="22" t="inlineStr">
        <is>
          <t>Cambria Hotel Orlando Universal Blvd</t>
        </is>
      </c>
      <c r="B7" s="21" t="inlineStr"/>
      <c r="C7" s="21" t="n">
        <v>0.65</v>
      </c>
      <c r="D7" s="21" t="n">
        <v>0.3</v>
      </c>
      <c r="E7" s="21" t="n">
        <v>41.5</v>
      </c>
      <c r="F7" s="21" t="inlineStr">
        <is>
          <t>New</t>
        </is>
      </c>
    </row>
    <row r="8" ht="18" customHeight="1">
      <c r="A8" s="26" t="inlineStr">
        <is>
          <t>Four Points by Sheraton Orlando International Drive</t>
        </is>
      </c>
      <c r="B8" s="25" t="inlineStr">
        <is>
          <t>Long-Term Owner | Old Property</t>
        </is>
      </c>
      <c r="C8" s="25" t="n">
        <v>0.35</v>
      </c>
      <c r="D8" s="25" t="n">
        <v>0.7</v>
      </c>
      <c r="E8" s="25" t="n">
        <v>50.5</v>
      </c>
      <c r="F8" s="25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100</v>
      </c>
      <c r="E2" s="23" t="inlineStr">
        <is>
          <t>New</t>
        </is>
      </c>
      <c r="F2" s="26" t="inlineStr"/>
      <c r="G2" s="35" t="n">
        <v>46196.30554147597</v>
      </c>
    </row>
    <row r="3" ht="18" customHeight="1">
      <c r="A3" s="22" t="inlineStr">
        <is>
          <t>Motel 6 Orlando, FL - International Dr</t>
        </is>
      </c>
      <c r="B3" s="21" t="inlineStr">
        <is>
          <t>Orlando</t>
        </is>
      </c>
      <c r="C3" s="21" t="inlineStr"/>
      <c r="D3" s="21" t="n">
        <v>86.40000000000001</v>
      </c>
      <c r="E3" s="23" t="inlineStr">
        <is>
          <t>New</t>
        </is>
      </c>
      <c r="F3" s="22" t="inlineStr"/>
      <c r="G3" s="36" t="n">
        <v>46196.30554147597</v>
      </c>
    </row>
    <row r="4" ht="18" customHeight="1">
      <c r="A4" s="26" t="inlineStr">
        <is>
          <t>La Quinta Inn by Wyndham Orlando International Drive North</t>
        </is>
      </c>
      <c r="B4" s="25" t="inlineStr">
        <is>
          <t>Orlando</t>
        </is>
      </c>
      <c r="C4" s="25" t="inlineStr"/>
      <c r="D4" s="25" t="n">
        <v>71.59999999999999</v>
      </c>
      <c r="E4" s="23" t="inlineStr">
        <is>
          <t>New</t>
        </is>
      </c>
      <c r="F4" s="26" t="inlineStr"/>
      <c r="G4" s="35" t="n">
        <v>46196.30554147597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65.59999999999999</v>
      </c>
      <c r="E5" s="23" t="inlineStr">
        <is>
          <t>New</t>
        </is>
      </c>
      <c r="F5" s="22" t="inlineStr"/>
      <c r="G5" s="36" t="n">
        <v>46196.30554147597</v>
      </c>
    </row>
    <row r="6" ht="18" customHeight="1">
      <c r="A6" s="26" t="inlineStr">
        <is>
          <t>Orlando Inn International Drive Area</t>
        </is>
      </c>
      <c r="B6" s="25" t="inlineStr">
        <is>
          <t>Orlando</t>
        </is>
      </c>
      <c r="C6" s="25" t="inlineStr"/>
      <c r="D6" s="25" t="n">
        <v>60.5</v>
      </c>
      <c r="E6" s="23" t="inlineStr">
        <is>
          <t>New</t>
        </is>
      </c>
      <c r="F6" s="26" t="inlineStr"/>
      <c r="G6" s="35" t="n">
        <v>46196.30554147597</v>
      </c>
    </row>
    <row r="7" ht="18" customHeight="1">
      <c r="A7" s="22" t="inlineStr">
        <is>
          <t>Four Points by Sheraton Orlando International Drive</t>
        </is>
      </c>
      <c r="B7" s="21" t="inlineStr">
        <is>
          <t>Orlando</t>
        </is>
      </c>
      <c r="C7" s="21" t="inlineStr"/>
      <c r="D7" s="21" t="n">
        <v>50.5</v>
      </c>
      <c r="E7" s="23" t="inlineStr">
        <is>
          <t>New</t>
        </is>
      </c>
      <c r="F7" s="22" t="inlineStr"/>
      <c r="G7" s="36" t="n">
        <v>46196.30554147597</v>
      </c>
    </row>
    <row r="8" ht="18" customHeight="1">
      <c r="A8" s="26" t="inlineStr">
        <is>
          <t>Cambria Hotel Orlando Universal Blvd</t>
        </is>
      </c>
      <c r="B8" s="25" t="inlineStr">
        <is>
          <t>Orlando</t>
        </is>
      </c>
      <c r="C8" s="25" t="inlineStr"/>
      <c r="D8" s="25" t="n">
        <v>41.5</v>
      </c>
      <c r="E8" s="23" t="inlineStr">
        <is>
          <t>New</t>
        </is>
      </c>
      <c r="F8" s="26" t="inlineStr"/>
      <c r="G8" s="35" t="n">
        <v>46196.30554147597</v>
      </c>
    </row>
    <row r="10">
      <c r="A10" s="39" t="inlineStr">
        <is>
          <t>ℹ️  Update Status or Notes above — agent reads this sheet to deduplicate and adjust scoring.</t>
        </is>
      </c>
    </row>
  </sheetData>
  <autoFilter ref="A1:G10"/>
  <mergeCells count="1">
    <mergeCell ref="A10:G10"/>
  </mergeCells>
  <dataValidations count="1">
    <dataValidation sqref="E2:E8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4" t="inlineStr">
        <is>
          <t>Reason</t>
        </is>
      </c>
      <c r="B1" s="34" t="inlineStr">
        <is>
          <t>Count</t>
        </is>
      </c>
      <c r="C1" s="34" t="inlineStr">
        <is>
          <t>Pipeline Fix</t>
        </is>
      </c>
      <c r="D1" s="34" t="inlineStr">
        <is>
          <t>Prompt Fix</t>
        </is>
      </c>
      <c r="E1" s="34" t="inlineStr">
        <is>
          <t>Scoring Fix</t>
        </is>
      </c>
      <c r="F1" s="34" t="inlineStr">
        <is>
          <t>Status</t>
        </is>
      </c>
    </row>
    <row r="2">
      <c r="A2" t="inlineStr">
        <is>
          <t>WRONG_OWNER</t>
        </is>
      </c>
      <c r="B2" t="n">
        <v>4</v>
      </c>
      <c r="C2" t="inlineStr">
        <is>
          <t>Implement a verification step that cross-checks ownership information against multiple reliable sources or updated property records before finalizing leads to ensure owner data accuracy.</t>
        </is>
      </c>
      <c r="D2" t="inlineStr">
        <is>
          <t>Add explicit instructions to carefully verify and confirm the current owner of each hotel property using up-to-date, authoritative ownership registries before submitting the lead to avoid incorrect owner data.</t>
        </is>
      </c>
      <c r="E2" t="inlineStr">
        <is>
          <t>Introduce a penalty or reduction in lead score when ownership data cannot be confidently verified or matches multiple conflicting sources, lowering the chance of promoting leads with questionable owner information.</t>
        </is>
      </c>
      <c r="F2" t="inlineStr">
        <is>
          <t>PENDING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2026-06-24T08:33:07Z</dcterms:created>
  <dcterms:modified xmlns:dcterms="http://purl.org/dc/terms/" xmlns:xsi="http://www.w3.org/2001/XMLSchema-instance" xsi:type="dcterms:W3CDTF">2026-06-24T08:33:07Z</dcterms:modified>
</cp:coreProperties>
</file>