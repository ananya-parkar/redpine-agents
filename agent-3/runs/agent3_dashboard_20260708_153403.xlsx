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ompanies_DB" sheetId="2" state="visible" r:id="rId2"/>
    <sheet xmlns:r="http://schemas.openxmlformats.org/officeDocument/2006/relationships" name="Top_Companies" sheetId="3" state="visible" r:id="rId3"/>
  </sheets>
  <definedNames>
    <definedName name="_xlnm._FilterDatabase" localSheetId="0" hidden="1">'Dashboard'!$A$25:$K$25</definedName>
    <definedName name="_xlnm._FilterDatabase" localSheetId="1" hidden="1">'Companies_DB'!$A$1:$N$1</definedName>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name val="Calibri"/>
      <b val="1"/>
      <color rgb="00FFFFFF"/>
      <sz val="18"/>
    </font>
    <font>
      <name val="Calibri"/>
      <i val="1"/>
      <color rgb="00D1D9E6"/>
      <sz val="10"/>
    </font>
    <font>
      <name val="Calibri"/>
      <b val="1"/>
      <color rgb="00FFFFFF"/>
      <sz val="10"/>
    </font>
    <font>
      <name val="Calibri"/>
      <color rgb="00FFFFFF"/>
      <sz val="10"/>
    </font>
    <font>
      <name val="Calibri"/>
      <b val="1"/>
      <color rgb="00FFFFFF"/>
      <sz val="11"/>
    </font>
    <font>
      <name val="Calibri"/>
      <color rgb="00424242"/>
      <sz val="10"/>
    </font>
    <font>
      <name val="Calibri"/>
      <b val="1"/>
      <color rgb="001B2A4A"/>
      <sz val="24"/>
    </font>
    <font>
      <name val="Calibri"/>
      <i val="1"/>
      <color rgb="00616161"/>
      <sz val="9"/>
    </font>
    <font>
      <name val="Calibri"/>
      <color rgb="00FFFFFF"/>
      <sz val="9"/>
    </font>
    <font>
      <name val="Calibri"/>
      <b val="1"/>
      <color rgb="001B2A4A"/>
      <sz val="11"/>
    </font>
    <font>
      <name val="Calibri"/>
      <sz val="9"/>
    </font>
    <font>
      <name val="Calibri"/>
      <b val="1"/>
      <sz val="10"/>
    </font>
    <font>
      <name val="Calibri"/>
      <sz val="10"/>
    </font>
    <font>
      <name val="Calibri"/>
      <b val="1"/>
      <color rgb="001F7A1F"/>
      <sz val="10"/>
    </font>
  </fonts>
  <fills count="17">
    <fill>
      <patternFill/>
    </fill>
    <fill>
      <patternFill patternType="gray125"/>
    </fill>
    <fill>
      <patternFill patternType="solid">
        <fgColor rgb="001B2A4A"/>
        <bgColor rgb="001B2A4A"/>
      </patternFill>
    </fill>
    <fill>
      <patternFill patternType="solid">
        <fgColor rgb="002E7D8E"/>
        <bgColor rgb="002E7D8E"/>
      </patternFill>
    </fill>
    <fill>
      <patternFill patternType="solid">
        <fgColor rgb="005B3A8E"/>
        <bgColor rgb="005B3A8E"/>
      </patternFill>
    </fill>
    <fill>
      <patternFill patternType="solid">
        <fgColor rgb="001565C0"/>
        <bgColor rgb="001565C0"/>
      </patternFill>
    </fill>
    <fill>
      <patternFill patternType="solid">
        <fgColor rgb="002E7D32"/>
        <bgColor rgb="002E7D32"/>
      </patternFill>
    </fill>
    <fill>
      <patternFill patternType="solid">
        <fgColor rgb="00DCE9F9"/>
        <bgColor rgb="00DCE9F9"/>
      </patternFill>
    </fill>
    <fill>
      <patternFill patternType="solid">
        <fgColor rgb="00DCEFD8"/>
        <bgColor rgb="00DCEFD8"/>
      </patternFill>
    </fill>
    <fill>
      <patternFill patternType="solid">
        <fgColor rgb="00FCF1C9"/>
        <bgColor rgb="00FCF1C9"/>
      </patternFill>
    </fill>
    <fill>
      <patternFill patternType="solid">
        <fgColor rgb="00E6DEF2"/>
        <bgColor rgb="00E6DEF2"/>
      </patternFill>
    </fill>
    <fill>
      <patternFill patternType="solid">
        <fgColor rgb="00DCEAF7"/>
        <bgColor rgb="00DCEAF7"/>
      </patternFill>
    </fill>
    <fill>
      <patternFill patternType="solid">
        <fgColor rgb="00E8F1FB"/>
        <bgColor rgb="00E8F1FB"/>
      </patternFill>
    </fill>
    <fill>
      <patternFill patternType="solid">
        <fgColor rgb="00FFF4D6"/>
        <bgColor rgb="00FFF4D6"/>
      </patternFill>
    </fill>
    <fill>
      <patternFill patternType="solid">
        <fgColor rgb="00EAF6EA"/>
        <bgColor rgb="00EAF6EA"/>
      </patternFill>
    </fill>
    <fill>
      <patternFill patternType="solid">
        <fgColor rgb="00EFF3E6"/>
        <bgColor rgb="00EFF3E6"/>
      </patternFill>
    </fill>
    <fill>
      <patternFill patternType="solid">
        <fgColor rgb="00C6EFCE"/>
        <bgColor rgb="00C6EFCE"/>
      </patternFill>
    </fill>
  </fills>
  <borders count="4">
    <border>
      <left/>
      <right/>
      <top/>
      <bottom/>
      <diagonal/>
    </border>
    <border>
      <right style="thin">
        <color rgb="003D4A6B"/>
      </right>
    </border>
    <border>
      <left style="thin">
        <color rgb="00D3D3D3"/>
      </left>
      <right style="thin">
        <color rgb="00D3D3D3"/>
      </right>
      <top style="thin">
        <color rgb="00D3D3D3"/>
      </top>
      <bottom style="thin">
        <color rgb="00D3D3D3"/>
      </bottom>
    </border>
    <border>
      <bottom style="thin">
        <color rgb="00E0E0E0"/>
      </bottom>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3" fillId="2" borderId="0" applyAlignment="1" pivotButton="0" quotePrefix="0" xfId="0">
      <alignment horizontal="left" vertical="center"/>
    </xf>
    <xf numFmtId="0" fontId="0" fillId="2" borderId="1" pivotButton="0" quotePrefix="0" xfId="0"/>
    <xf numFmtId="0" fontId="4" fillId="2" borderId="0" applyAlignment="1" pivotButton="0" quotePrefix="0" xfId="0">
      <alignment horizontal="left" vertical="center"/>
    </xf>
    <xf numFmtId="0" fontId="2" fillId="2" borderId="0" applyAlignment="1" pivotButton="0" quotePrefix="0" xfId="0">
      <alignment horizontal="left" vertical="center" indent="1"/>
    </xf>
    <xf numFmtId="0" fontId="5" fillId="2" borderId="0" applyAlignment="1" pivotButton="0" quotePrefix="0" xfId="0">
      <alignment horizontal="left" vertical="center"/>
    </xf>
    <xf numFmtId="0" fontId="3" fillId="3" borderId="0" applyAlignment="1" pivotButton="0" quotePrefix="0" xfId="0">
      <alignment horizontal="left" vertical="center" indent="1"/>
    </xf>
    <xf numFmtId="0" fontId="3" fillId="4" borderId="0" applyAlignment="1" pivotButton="0" quotePrefix="0" xfId="0">
      <alignment horizontal="left" vertical="center" indent="1"/>
    </xf>
    <xf numFmtId="0" fontId="3" fillId="5" borderId="0" applyAlignment="1" pivotButton="0" quotePrefix="0" xfId="0">
      <alignment horizontal="left" vertical="center" indent="1"/>
    </xf>
    <xf numFmtId="0" fontId="3" fillId="6" borderId="0" applyAlignment="1" pivotButton="0" quotePrefix="0" xfId="0">
      <alignment horizontal="left" vertical="center" indent="1"/>
    </xf>
    <xf numFmtId="0" fontId="6" fillId="7" borderId="0" applyAlignment="1" pivotButton="0" quotePrefix="0" xfId="0">
      <alignment horizontal="left" vertical="center" indent="1"/>
    </xf>
    <xf numFmtId="0" fontId="0" fillId="7" borderId="0" pivotButton="0" quotePrefix="0" xfId="0"/>
    <xf numFmtId="0" fontId="6" fillId="8" borderId="0" applyAlignment="1" pivotButton="0" quotePrefix="0" xfId="0">
      <alignment horizontal="left" vertical="center" indent="1"/>
    </xf>
    <xf numFmtId="0" fontId="0" fillId="8" borderId="0" pivotButton="0" quotePrefix="0" xfId="0"/>
    <xf numFmtId="0" fontId="6" fillId="9" borderId="0" applyAlignment="1" pivotButton="0" quotePrefix="0" xfId="0">
      <alignment horizontal="left" vertical="center" indent="1"/>
    </xf>
    <xf numFmtId="0" fontId="0" fillId="9" borderId="0" pivotButton="0" quotePrefix="0" xfId="0"/>
    <xf numFmtId="0" fontId="6" fillId="10" borderId="0" applyAlignment="1" pivotButton="0" quotePrefix="0" xfId="0">
      <alignment horizontal="left" vertical="center" indent="1"/>
    </xf>
    <xf numFmtId="0" fontId="0" fillId="10" borderId="0" pivotButton="0" quotePrefix="0" xfId="0"/>
    <xf numFmtId="0" fontId="6" fillId="11" borderId="0" applyAlignment="1" pivotButton="0" quotePrefix="0" xfId="0">
      <alignment horizontal="left" vertical="center" indent="1"/>
    </xf>
    <xf numFmtId="0" fontId="0" fillId="11" borderId="0" pivotButton="0" quotePrefix="0" xfId="0"/>
    <xf numFmtId="0" fontId="7" fillId="7" borderId="0" applyAlignment="1" pivotButton="0" quotePrefix="0" xfId="0">
      <alignment horizontal="left" vertical="center" indent="1"/>
    </xf>
    <xf numFmtId="0" fontId="7" fillId="8" borderId="0" applyAlignment="1" pivotButton="0" quotePrefix="0" xfId="0">
      <alignment horizontal="left" vertical="center" indent="1"/>
    </xf>
    <xf numFmtId="0" fontId="7" fillId="9" borderId="0" applyAlignment="1" pivotButton="0" quotePrefix="0" xfId="0">
      <alignment horizontal="left" vertical="center" indent="1"/>
    </xf>
    <xf numFmtId="0" fontId="7" fillId="10" borderId="0" applyAlignment="1" pivotButton="0" quotePrefix="0" xfId="0">
      <alignment horizontal="left" vertical="center" indent="1"/>
    </xf>
    <xf numFmtId="0" fontId="7" fillId="11" borderId="0" applyAlignment="1" pivotButton="0" quotePrefix="0" xfId="0">
      <alignment horizontal="left" vertical="center" indent="1"/>
    </xf>
    <xf numFmtId="0" fontId="8" fillId="7" borderId="0" applyAlignment="1" pivotButton="0" quotePrefix="0" xfId="0">
      <alignment horizontal="left" vertical="center" indent="1"/>
    </xf>
    <xf numFmtId="0" fontId="8" fillId="8" borderId="0" applyAlignment="1" pivotButton="0" quotePrefix="0" xfId="0">
      <alignment horizontal="left" vertical="center" indent="1"/>
    </xf>
    <xf numFmtId="0" fontId="8" fillId="9" borderId="0" applyAlignment="1" pivotButton="0" quotePrefix="0" xfId="0">
      <alignment horizontal="left" vertical="center" indent="1"/>
    </xf>
    <xf numFmtId="0" fontId="8" fillId="10" borderId="0" applyAlignment="1" pivotButton="0" quotePrefix="0" xfId="0">
      <alignment horizontal="left" vertical="center" indent="1"/>
    </xf>
    <xf numFmtId="0" fontId="8" fillId="11" borderId="0" applyAlignment="1" pivotButton="0" quotePrefix="0" xfId="0">
      <alignment horizontal="left" vertical="center" indent="1"/>
    </xf>
    <xf numFmtId="0" fontId="9" fillId="0" borderId="0" pivotButton="0" quotePrefix="0" xfId="0"/>
    <xf numFmtId="0" fontId="10" fillId="12" borderId="2" applyAlignment="1" pivotButton="0" quotePrefix="0" xfId="0">
      <alignment horizontal="center" vertical="center" wrapText="1"/>
    </xf>
    <xf numFmtId="0" fontId="0" fillId="0" borderId="2" pivotButton="0" quotePrefix="0" xfId="0"/>
    <xf numFmtId="0" fontId="5" fillId="2" borderId="0" applyAlignment="1" pivotButton="0" quotePrefix="0" xfId="0">
      <alignment horizontal="left" vertical="center" indent="1"/>
    </xf>
    <xf numFmtId="0" fontId="11" fillId="15" borderId="0" applyAlignment="1" pivotButton="0" quotePrefix="0" xfId="0">
      <alignment vertical="center" wrapText="1" indent="1"/>
    </xf>
    <xf numFmtId="0" fontId="0" fillId="15" borderId="0" pivotButton="0" quotePrefix="0" xfId="0"/>
    <xf numFmtId="0" fontId="10" fillId="13" borderId="2" applyAlignment="1" pivotButton="0" quotePrefix="0" xfId="0">
      <alignment horizontal="center" vertical="center" wrapText="1"/>
    </xf>
    <xf numFmtId="0" fontId="10" fillId="14" borderId="2" applyAlignment="1" pivotButton="0" quotePrefix="0" xfId="0">
      <alignment horizontal="center" vertical="center" wrapText="1"/>
    </xf>
    <xf numFmtId="0" fontId="3" fillId="2" borderId="0" applyAlignment="1" pivotButton="0" quotePrefix="0" xfId="0">
      <alignment horizontal="center" vertical="center" wrapText="1"/>
    </xf>
    <xf numFmtId="0" fontId="12" fillId="0" borderId="0" applyAlignment="1" pivotButton="0" quotePrefix="0" xfId="0">
      <alignment horizontal="center" vertical="center"/>
    </xf>
    <xf numFmtId="0" fontId="13" fillId="0" borderId="3" applyAlignment="1" pivotButton="0" quotePrefix="0" xfId="0">
      <alignment vertical="center" wrapText="1"/>
    </xf>
    <xf numFmtId="0" fontId="13" fillId="0" borderId="3" applyAlignment="1" pivotButton="0" quotePrefix="0" xfId="0">
      <alignment vertical="center"/>
    </xf>
    <xf numFmtId="0" fontId="13" fillId="0" borderId="3" applyAlignment="1" pivotButton="0" quotePrefix="0" xfId="0">
      <alignment horizontal="center" vertical="center"/>
    </xf>
    <xf numFmtId="0" fontId="12" fillId="16" borderId="3" applyAlignment="1" pivotButton="0" quotePrefix="0" xfId="0">
      <alignment horizontal="center" vertical="center"/>
    </xf>
    <xf numFmtId="0" fontId="14" fillId="0" borderId="3" applyAlignment="1" pivotButton="0" quotePrefix="0" xfId="0">
      <alignment vertical="center"/>
    </xf>
    <xf numFmtId="0" fontId="3" fillId="2" borderId="0" applyAlignment="1" pivotButton="0" quotePrefix="0" xfId="0">
      <alignment horizontal="center" wrapText="1"/>
    </xf>
    <xf numFmtId="0" fontId="13" fillId="0" borderId="3" pivotButton="0" quotePrefix="0" xfId="0"/>
    <xf numFmtId="0" fontId="13" fillId="16" borderId="3" pivotButton="0" quotePrefix="0" xfId="0"/>
    <xf numFmtId="164" fontId="13" fillId="0" borderId="3" pivotButton="0" quotePrefix="0" xfId="0"/>
    <xf numFmtId="0" fontId="12" fillId="0" borderId="0" pivotButton="0" quotePrefix="0" xfId="0"/>
    <xf numFmtId="0" fontId="13" fillId="0" borderId="3" applyAlignment="1" pivotButton="0" quotePrefix="0" xfId="0">
      <alignment vertical="top" wrapText="1"/>
    </xf>
    <xf numFmtId="0" fontId="12" fillId="16"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TARGETS BY GEOGRAPHY</a:t>
            </a:r>
          </a:p>
        </rich>
      </tx>
    </title>
    <plotArea>
      <pieChart>
        <varyColors val="1"/>
        <ser>
          <idx val="0"/>
          <order val="0"/>
          <tx>
            <strRef>
              <f>'Dashboard'!B11</f>
            </strRef>
          </tx>
          <spPr>
            <a:ln xmlns:a="http://schemas.openxmlformats.org/drawingml/2006/main">
              <a:prstDash val="solid"/>
            </a:ln>
          </spPr>
          <cat>
            <numRef>
              <f>'Dashboard'!$A$12</f>
            </numRef>
          </cat>
          <val>
            <numRef>
              <f>'Dashboard'!$B$12</f>
            </numRef>
          </val>
        </ser>
        <dLbls>
          <showLegendKey val="0"/>
          <showVal val="0"/>
          <showCatName val="0"/>
          <showSerName val="0"/>
          <showPercent val="1"/>
        </dLbls>
        <firstSliceAng val="0"/>
      </pieChart>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SELLER READINESS SCORE DISTRIBUTION</a:t>
            </a:r>
          </a:p>
        </rich>
      </tx>
    </title>
    <plotArea>
      <barChart>
        <barDir val="col"/>
        <grouping val="clustered"/>
        <ser>
          <idx val="0"/>
          <order val="0"/>
          <tx>
            <strRef>
              <f>'Dashboard'!E11</f>
            </strRef>
          </tx>
          <spPr>
            <a:ln xmlns:a="http://schemas.openxmlformats.org/drawingml/2006/main">
              <a:prstDash val="solid"/>
            </a:ln>
          </spPr>
          <cat>
            <numRef>
              <f>'Dashboard'!$D$12:$D$15</f>
            </numRef>
          </cat>
          <val>
            <numRef>
              <f>'Dashboard'!$E$12:$E$15</f>
            </numRef>
          </val>
        </ser>
        <dLbls>
          <showLegendKey val="0"/>
          <showVal val="1"/>
          <showCatName val="0"/>
          <showSerName val="0"/>
        </dLbls>
        <gapWidth val="50"/>
        <axId val="10"/>
        <axId val="100"/>
      </barChart>
      <catAx>
        <axId val="10"/>
        <scaling>
          <orientation val="minMax"/>
        </scaling>
        <delete val="0"/>
        <axPos val="l"/>
        <majorTickMark val="none"/>
        <minorTickMark val="none"/>
        <crossAx val="100"/>
        <lblOffset val="100"/>
      </catAx>
      <valAx>
        <axId val="100"/>
        <scaling>
          <orientation val="minMax"/>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style val="11"/>
  <chart>
    <title>
      <tx>
        <rich>
          <a:bodyPr xmlns:a="http://schemas.openxmlformats.org/drawingml/2006/main"/>
          <a:p xmlns:a="http://schemas.openxmlformats.org/drawingml/2006/main">
            <a:pPr>
              <a:defRPr/>
            </a:pPr>
            <a:r>
              <a:t>INDUSTRY BREAKDOWN</a:t>
            </a:r>
          </a:p>
        </rich>
      </tx>
    </title>
    <plotArea>
      <barChart>
        <barDir val="bar"/>
        <grouping val="clustered"/>
        <ser>
          <idx val="0"/>
          <order val="0"/>
          <tx>
            <strRef>
              <f>'Dashboard'!H11</f>
            </strRef>
          </tx>
          <spPr>
            <a:ln xmlns:a="http://schemas.openxmlformats.org/drawingml/2006/main">
              <a:prstDash val="solid"/>
            </a:ln>
          </spPr>
          <cat>
            <numRef>
              <f>'Dashboard'!$G$12</f>
            </numRef>
          </cat>
          <val>
            <numRef>
              <f>'Dashboard'!$H$12</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1"/>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10</row>
      <rowOff>0</rowOff>
    </from>
    <ext cx="21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10</row>
      <rowOff>0</rowOff>
    </from>
    <ext cx="21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10</row>
      <rowOff>0</rowOff>
    </from>
    <ext cx="252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26"/>
  <sheetViews>
    <sheetView showGridLines="0" workbookViewId="0">
      <selection activeCell="A1" sqref="A1"/>
    </sheetView>
  </sheetViews>
  <sheetFormatPr baseColWidth="8" defaultRowHeight="15"/>
  <cols>
    <col width="6" customWidth="1" min="1" max="1"/>
    <col width="26" customWidth="1" min="2" max="2"/>
    <col width="20" customWidth="1" min="3" max="3"/>
    <col width="14" customWidth="1" min="4" max="4"/>
    <col width="14" customWidth="1" min="5" max="5"/>
    <col width="10" customWidth="1" min="6" max="6"/>
    <col width="13" customWidth="1" min="7" max="7"/>
    <col width="16" customWidth="1" min="8" max="8"/>
    <col width="12" customWidth="1" min="9" max="9"/>
    <col width="32" customWidth="1" min="10" max="10"/>
    <col width="14"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26" customHeight="1">
      <c r="A1" s="1" t="inlineStr">
        <is>
          <t>Business Acquisition Targeting Dashboard</t>
        </is>
      </c>
      <c r="B1" s="2" t="n"/>
      <c r="C1" s="2" t="n"/>
      <c r="D1" s="2" t="n"/>
      <c r="E1" s="2" t="n"/>
      <c r="F1" s="2" t="n"/>
      <c r="G1" s="2" t="n"/>
      <c r="H1" s="3" t="inlineStr">
        <is>
          <t>Geography:</t>
        </is>
      </c>
      <c r="I1" s="4" t="n"/>
      <c r="J1" s="5" t="inlineStr">
        <is>
          <t>Data as of:</t>
        </is>
      </c>
      <c r="K1" s="2" t="n"/>
    </row>
    <row r="2" ht="18" customHeight="1">
      <c r="A2" s="6" t="inlineStr">
        <is>
          <t>Surface family-owned, founder-led businesses that fit the acquisition profile</t>
        </is>
      </c>
      <c r="B2" s="2" t="n"/>
      <c r="C2" s="2" t="n"/>
      <c r="D2" s="2" t="n"/>
      <c r="E2" s="2" t="n"/>
      <c r="F2" s="2" t="n"/>
      <c r="G2" s="2" t="n"/>
      <c r="H2" s="5" t="inlineStr">
        <is>
          <t>Florida</t>
        </is>
      </c>
      <c r="I2" s="4" t="n"/>
      <c r="J2" s="7" t="inlineStr">
        <is>
          <t>08-Jul-2026 03:34 PM</t>
        </is>
      </c>
      <c r="K2" s="2" t="n"/>
    </row>
    <row r="3" ht="4" customHeight="1">
      <c r="A3" s="2" t="n"/>
      <c r="B3" s="2" t="n"/>
      <c r="C3" s="2" t="n"/>
      <c r="D3" s="2" t="n"/>
      <c r="E3" s="2" t="n"/>
      <c r="F3" s="2" t="n"/>
      <c r="G3" s="2" t="n"/>
      <c r="H3" s="2" t="n"/>
      <c r="I3" s="2" t="n"/>
      <c r="J3" s="2" t="n"/>
      <c r="K3" s="2" t="n"/>
    </row>
    <row r="4" ht="24" customHeight="1">
      <c r="A4" s="8" t="inlineStr">
        <is>
          <t xml:space="preserve">  Founder-Led:  0</t>
        </is>
      </c>
      <c r="D4" s="9" t="inlineStr">
        <is>
          <t xml:space="preserve">  Family-Owned:  0</t>
        </is>
      </c>
      <c r="G4" s="10" t="inlineStr">
        <is>
          <t xml:space="preserve">  Highest Score:  100</t>
        </is>
      </c>
      <c r="J4" s="11" t="inlineStr">
        <is>
          <t xml:space="preserve">  New Today:  1</t>
        </is>
      </c>
    </row>
    <row r="5" ht="4" customHeight="1">
      <c r="A5" s="2" t="n"/>
      <c r="B5" s="2" t="n"/>
      <c r="C5" s="2" t="n"/>
      <c r="D5" s="2" t="n"/>
      <c r="E5" s="2" t="n"/>
      <c r="F5" s="2" t="n"/>
      <c r="G5" s="2" t="n"/>
      <c r="H5" s="2" t="n"/>
      <c r="I5" s="2" t="n"/>
      <c r="J5" s="2" t="n"/>
      <c r="K5" s="2" t="n"/>
    </row>
    <row r="6" ht="18" customHeight="1">
      <c r="A6" s="12" t="inlineStr">
        <is>
          <t>🎯 Total Targets Found</t>
        </is>
      </c>
      <c r="B6" s="13" t="n"/>
      <c r="C6" s="14" t="inlineStr">
        <is>
          <t>➕ New This Week</t>
        </is>
      </c>
      <c r="D6" s="15" t="n"/>
      <c r="E6" s="16" t="inlineStr">
        <is>
          <t>⭐ Shortlisted</t>
        </is>
      </c>
      <c r="F6" s="17" t="n"/>
      <c r="G6" s="17" t="n"/>
      <c r="H6" s="18" t="inlineStr">
        <is>
          <t>📋 In Review</t>
        </is>
      </c>
      <c r="I6" s="19" t="n"/>
      <c r="J6" s="20" t="inlineStr">
        <is>
          <t>✅ Reviewed</t>
        </is>
      </c>
      <c r="K6" s="21" t="n"/>
    </row>
    <row r="7" ht="30" customHeight="1">
      <c r="A7" s="22" t="n">
        <v>1</v>
      </c>
      <c r="B7" s="13" t="n"/>
      <c r="C7" s="23" t="n">
        <v>1</v>
      </c>
      <c r="D7" s="15" t="n"/>
      <c r="E7" s="24" t="n">
        <v>0</v>
      </c>
      <c r="F7" s="17" t="n"/>
      <c r="G7" s="17" t="n"/>
      <c r="H7" s="25" t="n">
        <v>1</v>
      </c>
      <c r="I7" s="19" t="n"/>
      <c r="J7" s="26" t="n">
        <v>0</v>
      </c>
      <c r="K7" s="21" t="n"/>
    </row>
    <row r="8" ht="16" customHeight="1">
      <c r="A8" s="27" t="inlineStr">
        <is>
          <t>All Time</t>
        </is>
      </c>
      <c r="B8" s="13" t="n"/>
      <c r="C8" s="28" t="inlineStr">
        <is>
          <t>vs Last Week: ↓ 1</t>
        </is>
      </c>
      <c r="D8" s="15" t="n"/>
      <c r="E8" s="29" t="inlineStr">
        <is>
          <t>vs Last Week: — 0</t>
        </is>
      </c>
      <c r="F8" s="17" t="n"/>
      <c r="G8" s="17" t="n"/>
      <c r="H8" s="30" t="inlineStr">
        <is>
          <t>vs Last Week: ↓ 16</t>
        </is>
      </c>
      <c r="I8" s="19" t="n"/>
      <c r="J8" s="31" t="inlineStr">
        <is>
          <t>vs Last Week: — 0</t>
        </is>
      </c>
      <c r="K8" s="21" t="n"/>
    </row>
    <row r="9" ht="8" customHeight="1">
      <c r="A9" s="13" t="n"/>
      <c r="B9" s="13" t="n"/>
      <c r="C9" s="15" t="n"/>
      <c r="D9" s="15" t="n"/>
      <c r="E9" s="17" t="n"/>
      <c r="F9" s="17" t="n"/>
      <c r="G9" s="17" t="n"/>
      <c r="H9" s="19" t="n"/>
      <c r="I9" s="19" t="n"/>
      <c r="J9" s="21" t="n"/>
      <c r="K9" s="21" t="n"/>
    </row>
    <row r="11" ht="22" customHeight="1">
      <c r="A11" s="32" t="inlineStr">
        <is>
          <t>State</t>
        </is>
      </c>
      <c r="B11" s="32" t="inlineStr">
        <is>
          <t>Count</t>
        </is>
      </c>
      <c r="D11" s="32" t="inlineStr">
        <is>
          <t>Band</t>
        </is>
      </c>
      <c r="E11" s="32" t="inlineStr">
        <is>
          <t>Count</t>
        </is>
      </c>
      <c r="G11" s="32" t="inlineStr">
        <is>
          <t>Industry</t>
        </is>
      </c>
      <c r="H11" s="33" t="inlineStr">
        <is>
          <t>📍 TOP GEOGRAPHY
Florida</t>
        </is>
      </c>
      <c r="I11" s="34" t="n"/>
      <c r="J11" s="35" t="inlineStr">
        <is>
          <t>Key Insights</t>
        </is>
      </c>
    </row>
    <row r="12" ht="16" customHeight="1">
      <c r="A12" s="32" t="inlineStr">
        <is>
          <t>Florida</t>
        </is>
      </c>
      <c r="B12" s="32" t="n">
        <v>1</v>
      </c>
      <c r="D12" s="32" t="inlineStr">
        <is>
          <t>20-40</t>
        </is>
      </c>
      <c r="E12" s="32" t="n">
        <v>0</v>
      </c>
      <c r="G12" s="32" t="inlineStr">
        <is>
          <t>Sign manufacturing...</t>
        </is>
      </c>
      <c r="H12" s="34" t="n"/>
      <c r="I12" s="34" t="n"/>
      <c r="J12" s="36" t="inlineStr">
        <is>
          <t>• ✓ Founder-Led: 0%</t>
        </is>
      </c>
      <c r="K12" s="37" t="n"/>
    </row>
    <row r="13" ht="16" customHeight="1">
      <c r="D13" s="32" t="inlineStr">
        <is>
          <t>40-60</t>
        </is>
      </c>
      <c r="E13" s="32" t="n">
        <v>0</v>
      </c>
      <c r="H13" s="34" t="n"/>
      <c r="I13" s="34" t="n"/>
      <c r="J13" s="37" t="n"/>
      <c r="K13" s="37" t="n"/>
    </row>
    <row r="14" ht="16" customHeight="1">
      <c r="D14" s="32" t="inlineStr">
        <is>
          <t>60-80</t>
        </is>
      </c>
      <c r="E14" s="32" t="n">
        <v>0</v>
      </c>
      <c r="J14" s="36" t="inlineStr">
        <is>
          <t>• 🏠 Family-Owned: 0%</t>
        </is>
      </c>
      <c r="K14" s="37" t="n"/>
    </row>
    <row r="15" ht="16" customHeight="1">
      <c r="D15" s="32" t="inlineStr">
        <is>
          <t>80-100</t>
        </is>
      </c>
      <c r="E15" s="32" t="n">
        <v>0</v>
      </c>
      <c r="H15" s="38" t="inlineStr">
        <is>
          <t>⭐ HIGHEST SCORE
100</t>
        </is>
      </c>
      <c r="I15" s="34" t="n"/>
      <c r="J15" s="37" t="n"/>
      <c r="K15" s="37" t="n"/>
    </row>
    <row r="16" ht="16" customHeight="1">
      <c r="H16" s="34" t="n"/>
      <c r="I16" s="34" t="n"/>
      <c r="J16" s="36" t="inlineStr">
        <is>
          <t>• 📍 Top Geography: Florida</t>
        </is>
      </c>
      <c r="K16" s="37" t="n"/>
    </row>
    <row r="17" ht="16" customHeight="1">
      <c r="H17" s="34" t="n"/>
      <c r="I17" s="34" t="n"/>
      <c r="J17" s="37" t="n"/>
      <c r="K17" s="37" t="n"/>
    </row>
    <row r="18" ht="16" customHeight="1">
      <c r="J18" s="36" t="inlineStr">
        <is>
          <t>• 🆕 New Targets: 1</t>
        </is>
      </c>
      <c r="K18" s="37" t="n"/>
    </row>
    <row r="19" ht="16" customHeight="1">
      <c r="H19" s="39" t="inlineStr">
        <is>
          <t>🏆 TOP INDUSTRY
Sign manufacturing...</t>
        </is>
      </c>
      <c r="I19" s="34" t="n"/>
      <c r="J19" s="37" t="n"/>
      <c r="K19" s="37" t="n"/>
    </row>
    <row r="20" ht="16" customHeight="1">
      <c r="H20" s="34" t="n"/>
      <c r="I20" s="34" t="n"/>
      <c r="J20" s="36" t="inlineStr">
        <is>
          <t>• ⭐ High Scorers (80+): 1</t>
        </is>
      </c>
      <c r="K20" s="37" t="n"/>
    </row>
    <row r="21" ht="16" customHeight="1">
      <c r="H21" s="34" t="n"/>
      <c r="I21" s="34" t="n"/>
      <c r="J21" s="37" t="n"/>
      <c r="K21" s="37" t="n"/>
    </row>
    <row r="22" ht="16" customHeight="1">
      <c r="H22" s="34" t="n"/>
      <c r="I22" s="34" t="n"/>
      <c r="J22" s="37" t="n"/>
      <c r="K22" s="37" t="n"/>
    </row>
    <row r="25" ht="26" customHeight="1">
      <c r="A25" s="40" t="inlineStr">
        <is>
          <t>Rank</t>
        </is>
      </c>
      <c r="B25" s="40" t="inlineStr">
        <is>
          <t>Company Name</t>
        </is>
      </c>
      <c r="C25" s="40" t="inlineStr">
        <is>
          <t>Founder Name</t>
        </is>
      </c>
      <c r="D25" s="40" t="inlineStr">
        <is>
          <t>Founder Age (Est.)</t>
        </is>
      </c>
      <c r="E25" s="40" t="inlineStr">
        <is>
          <t>Years in Business</t>
        </is>
      </c>
      <c r="F25" s="40" t="inlineStr">
        <is>
          <t>State</t>
        </is>
      </c>
      <c r="G25" s="40" t="inlineStr">
        <is>
          <t>Readiness Score</t>
        </is>
      </c>
      <c r="H25" s="40" t="inlineStr">
        <is>
          <t>Ownership Status</t>
        </is>
      </c>
      <c r="I25" s="40" t="inlineStr">
        <is>
          <t>Status</t>
        </is>
      </c>
      <c r="J25" s="40" t="inlineStr">
        <is>
          <t>Why Selected</t>
        </is>
      </c>
      <c r="K25" s="40" t="inlineStr">
        <is>
          <t>Ownership Tenure</t>
        </is>
      </c>
    </row>
    <row r="26">
      <c r="A26" s="41" t="n">
        <v>1</v>
      </c>
      <c r="B26" s="42" t="inlineStr">
        <is>
          <t>AI Sign Crafters</t>
        </is>
      </c>
      <c r="C26" s="42" t="inlineStr">
        <is>
          <t>Jeffrey Petersen</t>
        </is>
      </c>
      <c r="D26" s="43" t="inlineStr">
        <is>
          <t>70-80</t>
        </is>
      </c>
      <c r="E26" s="44" t="n">
        <v>47</v>
      </c>
      <c r="F26" s="43" t="inlineStr">
        <is>
          <t>FL</t>
        </is>
      </c>
      <c r="G26" s="45" t="n">
        <v>100</v>
      </c>
      <c r="H26" s="43" t="inlineStr">
        <is>
          <t>Founder Owned</t>
        </is>
      </c>
      <c r="I26" s="46" t="inlineStr">
        <is>
          <t>New</t>
        </is>
      </c>
      <c r="J26" s="42" t="inlineStr">
        <is>
          <t>47-year-old sign manufacturer with aging founder and recent leadership transition; high seller-readiness score.</t>
        </is>
      </c>
      <c r="K26" s="43" t="n">
        <v>45</v>
      </c>
    </row>
  </sheetData>
  <autoFilter ref="A25:K25"/>
  <mergeCells count="38">
    <mergeCell ref="C6:D6"/>
    <mergeCell ref="H15:I17"/>
    <mergeCell ref="H1:I1"/>
    <mergeCell ref="J16:K17"/>
    <mergeCell ref="E9:G9"/>
    <mergeCell ref="A6:B6"/>
    <mergeCell ref="E6:G6"/>
    <mergeCell ref="H9:I9"/>
    <mergeCell ref="J9:K9"/>
    <mergeCell ref="A2:F2"/>
    <mergeCell ref="J18:K19"/>
    <mergeCell ref="H6:I6"/>
    <mergeCell ref="A7:B7"/>
    <mergeCell ref="J6:K6"/>
    <mergeCell ref="J12:K13"/>
    <mergeCell ref="D4:F4"/>
    <mergeCell ref="H19:I22"/>
    <mergeCell ref="G4:I4"/>
    <mergeCell ref="C9:D9"/>
    <mergeCell ref="A4:C4"/>
    <mergeCell ref="E7:G7"/>
    <mergeCell ref="J14:K15"/>
    <mergeCell ref="J4:K4"/>
    <mergeCell ref="H2:I2"/>
    <mergeCell ref="J11:K11"/>
    <mergeCell ref="H11:I13"/>
    <mergeCell ref="J20:K22"/>
    <mergeCell ref="H7:I7"/>
    <mergeCell ref="J7:K7"/>
    <mergeCell ref="A8:B8"/>
    <mergeCell ref="C8:D8"/>
    <mergeCell ref="C7:D7"/>
    <mergeCell ref="J2:K2"/>
    <mergeCell ref="A1:F1"/>
    <mergeCell ref="E8:G8"/>
    <mergeCell ref="H8:I8"/>
    <mergeCell ref="A9:B9"/>
    <mergeCell ref="J8:K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8" customWidth="1" min="3" max="3"/>
    <col width="14" customWidth="1" min="4" max="4"/>
    <col width="12" customWidth="1" min="5" max="5"/>
    <col width="14" customWidth="1" min="6" max="6"/>
    <col width="20" customWidth="1" min="7" max="7"/>
    <col width="12" customWidth="1" min="8" max="8"/>
    <col width="12" customWidth="1" min="9" max="9"/>
    <col width="14" customWidth="1" min="10" max="10"/>
    <col width="16" customWidth="1" min="11" max="11"/>
    <col width="14" customWidth="1" min="12" max="12"/>
    <col width="14" customWidth="1" min="13" max="13"/>
    <col width="14" customWidth="1" min="14" max="14"/>
  </cols>
  <sheetData>
    <row r="1">
      <c r="A1" s="47" t="inlineStr">
        <is>
          <t>Company Name</t>
        </is>
      </c>
      <c r="B1" s="47" t="inlineStr">
        <is>
          <t>State</t>
        </is>
      </c>
      <c r="C1" s="47" t="inlineStr">
        <is>
          <t>Industry</t>
        </is>
      </c>
      <c r="D1" s="47" t="inlineStr">
        <is>
          <t>Company Type</t>
        </is>
      </c>
      <c r="E1" s="47" t="inlineStr">
        <is>
          <t>Founded Year</t>
        </is>
      </c>
      <c r="F1" s="47" t="inlineStr">
        <is>
          <t>Years in Business</t>
        </is>
      </c>
      <c r="G1" s="47" t="inlineStr">
        <is>
          <t>Founder Name</t>
        </is>
      </c>
      <c r="H1" s="47" t="inlineStr">
        <is>
          <t>Founder Led</t>
        </is>
      </c>
      <c r="I1" s="47" t="inlineStr">
        <is>
          <t>Family Owned</t>
        </is>
      </c>
      <c r="J1" s="47" t="inlineStr">
        <is>
          <t>Founder Age Est.</t>
        </is>
      </c>
      <c r="K1" s="47" t="inlineStr">
        <is>
          <t>Seller Readiness Score</t>
        </is>
      </c>
      <c r="L1" s="47" t="inlineStr">
        <is>
          <t>Review Status</t>
        </is>
      </c>
      <c r="M1" s="47" t="inlineStr">
        <is>
          <t>First Seen</t>
        </is>
      </c>
      <c r="N1" s="47" t="inlineStr">
        <is>
          <t>Last Seen</t>
        </is>
      </c>
    </row>
    <row r="2">
      <c r="A2" s="48" t="inlineStr">
        <is>
          <t>AI Sign Crafters</t>
        </is>
      </c>
      <c r="B2" s="48" t="inlineStr">
        <is>
          <t>FL</t>
        </is>
      </c>
      <c r="C2" s="48" t="inlineStr">
        <is>
          <t>Sign manufacturing / Appliances, Electrical, and Electronics Manufacturing</t>
        </is>
      </c>
      <c r="D2" s="48" t="inlineStr">
        <is>
          <t>Unknown</t>
        </is>
      </c>
      <c r="E2" s="48" t="inlineStr">
        <is>
          <t>1979</t>
        </is>
      </c>
      <c r="F2" s="48" t="n">
        <v>47</v>
      </c>
      <c r="G2" s="48" t="inlineStr">
        <is>
          <t>Jeffrey Petersen</t>
        </is>
      </c>
      <c r="H2" s="48" t="inlineStr">
        <is>
          <t>No</t>
        </is>
      </c>
      <c r="I2" s="48" t="inlineStr">
        <is>
          <t>Unknown</t>
        </is>
      </c>
      <c r="J2" s="48" t="inlineStr">
        <is>
          <t>70-80</t>
        </is>
      </c>
      <c r="K2" s="49" t="n">
        <v>100</v>
      </c>
      <c r="L2" s="48" t="inlineStr">
        <is>
          <t>New</t>
        </is>
      </c>
      <c r="M2" s="50" t="n">
        <v>46211</v>
      </c>
      <c r="N2" s="50" t="n">
        <v>46211</v>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0" customWidth="1" min="3" max="3"/>
    <col width="10" customWidth="1" min="4" max="4"/>
    <col width="55" customWidth="1" min="5" max="5"/>
    <col width="55" customWidth="1" min="6" max="6"/>
    <col width="45" customWidth="1" min="7" max="7"/>
    <col width="14" customWidth="1" min="8" max="8"/>
    <col width="35" customWidth="1" min="9" max="9"/>
    <col hidden="1" min="10" max="10"/>
  </cols>
  <sheetData>
    <row r="1">
      <c r="A1" s="47" t="inlineStr">
        <is>
          <t>Rank</t>
        </is>
      </c>
      <c r="B1" s="47" t="inlineStr">
        <is>
          <t>Company Name</t>
        </is>
      </c>
      <c r="C1" s="47" t="inlineStr">
        <is>
          <t>Score</t>
        </is>
      </c>
      <c r="D1" s="47" t="inlineStr">
        <is>
          <t>State</t>
        </is>
      </c>
      <c r="E1" s="47" t="inlineStr">
        <is>
          <t>Why Selected</t>
        </is>
      </c>
      <c r="F1" s="47" t="inlineStr">
        <is>
          <t>Evidence Summary</t>
        </is>
      </c>
      <c r="G1" s="47" t="inlineStr">
        <is>
          <t>One-line Reason</t>
        </is>
      </c>
      <c r="H1" s="47" t="inlineStr">
        <is>
          <t>Feedback</t>
        </is>
      </c>
      <c r="I1" s="47" t="inlineStr">
        <is>
          <t>Notes</t>
        </is>
      </c>
      <c r="J1" s="47" t="inlineStr">
        <is>
          <t>_candidate_id</t>
        </is>
      </c>
    </row>
    <row r="2" ht="90" customHeight="1">
      <c r="A2" s="51" t="n">
        <v>1</v>
      </c>
      <c r="B2" s="52" t="inlineStr">
        <is>
          <t>AI Sign Crafters</t>
        </is>
      </c>
      <c r="C2" s="53" t="n">
        <v>100</v>
      </c>
      <c r="D2" s="52" t="inlineStr">
        <is>
          <t>FL</t>
        </is>
      </c>
      <c r="E2" s="52" t="inlineStr">
        <is>
          <t>AI Sign Crafters has been in business for 47 years, suggesting an established operation with deep market presence in sign manufacturing. The founder, Jeffrey Petersen, is now in his 70s-80s and appears to no longer lead the company day-to-day, with Patti Petersen listed as CEO since 2019 - a leadership transition pattern that often signals succession-related openness to a sale. The perfect Seller Readiness Score of 100 further supports this as a strong target.</t>
        </is>
      </c>
      <c r="F2" s="52" t="inlineStr">
        <is>
          <t>Evidence shows Jeffrey Petersen founded the company (as 'American Signcrafters') in April 1979 and is still listed as 'Owner,' while Patti Petersen has held the CEO title since January 2019, indicating a leadership change; however, no explicit statement confirms family ownership or private/public status.</t>
        </is>
      </c>
      <c r="G2" s="52" t="inlineStr">
        <is>
          <t>47-year-old sign manufacturer with aging founder and recent leadership transition; high seller-readiness score.</t>
        </is>
      </c>
      <c r="H2" s="52" t="inlineStr">
        <is>
          <t>New</t>
        </is>
      </c>
      <c r="I2" s="52" t="inlineStr"/>
      <c r="J2" s="52" t="n">
        <v>2</v>
      </c>
    </row>
  </sheetData>
  <dataValidations count="1">
    <dataValidation sqref="H2" showDropDown="0" showInputMessage="0" showErrorMessage="0" allowBlank="1" type="list">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2026-07-08T10:04:03Z</dcterms:created>
  <dcterms:modified xmlns:dcterms="http://purl.org/dc/terms/" xmlns:xsi="http://www.w3.org/2001/XMLSchema-instance" xsi:type="dcterms:W3CDTF">2026-07-08T10:04:03Z</dcterms:modified>
</cp:coreProperties>
</file>