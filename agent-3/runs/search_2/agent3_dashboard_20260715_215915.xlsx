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anies_DB" sheetId="2" state="visible" r:id="rId2"/>
    <sheet xmlns:r="http://schemas.openxmlformats.org/officeDocument/2006/relationships" name="Top_Companies" sheetId="3" state="visible" r:id="rId3"/>
  </sheets>
  <definedNames>
    <definedName name="_xlnm._FilterDatabase" localSheetId="0" hidden="1">'Dashboard'!$A$25:$K$25</definedName>
    <definedName name="_xlnm._FilterDatabase" localSheetId="1" hidden="1">'Companies_DB'!$A$1:$N$1</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Calibri"/>
      <b val="1"/>
      <color rgb="00FFFFFF"/>
      <sz val="18"/>
    </font>
    <font>
      <name val="Calibri"/>
      <i val="1"/>
      <color rgb="00D1D9E6"/>
      <sz val="10"/>
    </font>
    <font>
      <name val="Calibri"/>
      <b val="1"/>
      <color rgb="00FFFFFF"/>
      <sz val="10"/>
    </font>
    <font>
      <name val="Calibri"/>
      <color rgb="00FFFFFF"/>
      <sz val="10"/>
    </font>
    <font>
      <name val="Calibri"/>
      <b val="1"/>
      <color rgb="00FFFFFF"/>
      <sz val="11"/>
    </font>
    <font>
      <name val="Calibri"/>
      <color rgb="00424242"/>
      <sz val="10"/>
    </font>
    <font>
      <name val="Calibri"/>
      <b val="1"/>
      <color rgb="001B2A4A"/>
      <sz val="24"/>
    </font>
    <font>
      <name val="Calibri"/>
      <i val="1"/>
      <color rgb="00616161"/>
      <sz val="9"/>
    </font>
    <font>
      <name val="Calibri"/>
      <color rgb="00FFFFFF"/>
      <sz val="9"/>
    </font>
    <font>
      <name val="Calibri"/>
      <b val="1"/>
      <color rgb="001B2A4A"/>
      <sz val="11"/>
    </font>
    <font>
      <name val="Calibri"/>
      <sz val="9"/>
    </font>
    <font>
      <name val="Calibri"/>
      <b val="1"/>
      <sz val="10"/>
    </font>
    <font>
      <name val="Calibri"/>
      <sz val="10"/>
    </font>
    <font>
      <name val="Calibri"/>
      <b val="1"/>
      <color rgb="001F7A1F"/>
      <sz val="10"/>
    </font>
  </fonts>
  <fills count="18">
    <fill>
      <patternFill/>
    </fill>
    <fill>
      <patternFill patternType="gray125"/>
    </fill>
    <fill>
      <patternFill patternType="solid">
        <fgColor rgb="001B2A4A"/>
        <bgColor rgb="001B2A4A"/>
      </patternFill>
    </fill>
    <fill>
      <patternFill patternType="solid">
        <fgColor rgb="002E7D8E"/>
        <bgColor rgb="002E7D8E"/>
      </patternFill>
    </fill>
    <fill>
      <patternFill patternType="solid">
        <fgColor rgb="005B3A8E"/>
        <bgColor rgb="005B3A8E"/>
      </patternFill>
    </fill>
    <fill>
      <patternFill patternType="solid">
        <fgColor rgb="001565C0"/>
        <bgColor rgb="001565C0"/>
      </patternFill>
    </fill>
    <fill>
      <patternFill patternType="solid">
        <fgColor rgb="002E7D32"/>
        <bgColor rgb="002E7D32"/>
      </patternFill>
    </fill>
    <fill>
      <patternFill patternType="solid">
        <fgColor rgb="00DCE9F9"/>
        <bgColor rgb="00DCE9F9"/>
      </patternFill>
    </fill>
    <fill>
      <patternFill patternType="solid">
        <fgColor rgb="00DCEFD8"/>
        <bgColor rgb="00DCEFD8"/>
      </patternFill>
    </fill>
    <fill>
      <patternFill patternType="solid">
        <fgColor rgb="00FCF1C9"/>
        <bgColor rgb="00FCF1C9"/>
      </patternFill>
    </fill>
    <fill>
      <patternFill patternType="solid">
        <fgColor rgb="00E6DEF2"/>
        <bgColor rgb="00E6DEF2"/>
      </patternFill>
    </fill>
    <fill>
      <patternFill patternType="solid">
        <fgColor rgb="00DCEAF7"/>
        <bgColor rgb="00DCEAF7"/>
      </patternFill>
    </fill>
    <fill>
      <patternFill patternType="solid">
        <fgColor rgb="00E8F1FB"/>
        <bgColor rgb="00E8F1FB"/>
      </patternFill>
    </fill>
    <fill>
      <patternFill patternType="solid">
        <fgColor rgb="00FFF4D6"/>
        <bgColor rgb="00FFF4D6"/>
      </patternFill>
    </fill>
    <fill>
      <patternFill patternType="solid">
        <fgColor rgb="00EAF6EA"/>
        <bgColor rgb="00EAF6EA"/>
      </patternFill>
    </fill>
    <fill>
      <patternFill patternType="solid">
        <fgColor rgb="00EFF3E6"/>
        <bgColor rgb="00EFF3E6"/>
      </patternFill>
    </fill>
    <fill>
      <patternFill patternType="solid">
        <fgColor rgb="00C6EFCE"/>
        <bgColor rgb="00C6EFCE"/>
      </patternFill>
    </fill>
    <fill>
      <patternFill patternType="solid">
        <fgColor rgb="00FFEB9C"/>
        <bgColor rgb="00FFEB9C"/>
      </patternFill>
    </fill>
  </fills>
  <borders count="4">
    <border>
      <left/>
      <right/>
      <top/>
      <bottom/>
      <diagonal/>
    </border>
    <border>
      <right style="thin">
        <color rgb="003D4A6B"/>
      </right>
    </border>
    <border>
      <left style="thin">
        <color rgb="00D3D3D3"/>
      </left>
      <right style="thin">
        <color rgb="00D3D3D3"/>
      </right>
      <top style="thin">
        <color rgb="00D3D3D3"/>
      </top>
      <bottom style="thin">
        <color rgb="00D3D3D3"/>
      </bottom>
    </border>
    <border>
      <bottom style="thin">
        <color rgb="00E0E0E0"/>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3" fillId="2" borderId="0" applyAlignment="1" pivotButton="0" quotePrefix="0" xfId="0">
      <alignment horizontal="left" vertical="center"/>
    </xf>
    <xf numFmtId="0" fontId="0" fillId="2" borderId="1" pivotButton="0" quotePrefix="0" xfId="0"/>
    <xf numFmtId="0" fontId="4" fillId="2" borderId="0" applyAlignment="1" pivotButton="0" quotePrefix="0" xfId="0">
      <alignment horizontal="left" vertical="center"/>
    </xf>
    <xf numFmtId="0" fontId="2" fillId="2" borderId="0" applyAlignment="1" pivotButton="0" quotePrefix="0" xfId="0">
      <alignment horizontal="left" vertical="center" indent="1"/>
    </xf>
    <xf numFmtId="0" fontId="5" fillId="2" borderId="0" applyAlignment="1" pivotButton="0" quotePrefix="0" xfId="0">
      <alignment horizontal="left" vertical="center"/>
    </xf>
    <xf numFmtId="0" fontId="3" fillId="3" borderId="0" applyAlignment="1" pivotButton="0" quotePrefix="0" xfId="0">
      <alignment horizontal="left" vertical="center" indent="1"/>
    </xf>
    <xf numFmtId="0" fontId="3" fillId="4" borderId="0" applyAlignment="1" pivotButton="0" quotePrefix="0" xfId="0">
      <alignment horizontal="left" vertical="center" indent="1"/>
    </xf>
    <xf numFmtId="0" fontId="3" fillId="5" borderId="0" applyAlignment="1" pivotButton="0" quotePrefix="0" xfId="0">
      <alignment horizontal="left" vertical="center" indent="1"/>
    </xf>
    <xf numFmtId="0" fontId="3" fillId="6" borderId="0" applyAlignment="1" pivotButton="0" quotePrefix="0" xfId="0">
      <alignment horizontal="left" vertical="center" indent="1"/>
    </xf>
    <xf numFmtId="0" fontId="6" fillId="7" borderId="0" applyAlignment="1" pivotButton="0" quotePrefix="0" xfId="0">
      <alignment horizontal="left" vertical="center" indent="1"/>
    </xf>
    <xf numFmtId="0" fontId="0" fillId="7" borderId="0" pivotButton="0" quotePrefix="0" xfId="0"/>
    <xf numFmtId="0" fontId="6" fillId="8" borderId="0" applyAlignment="1" pivotButton="0" quotePrefix="0" xfId="0">
      <alignment horizontal="left" vertical="center" indent="1"/>
    </xf>
    <xf numFmtId="0" fontId="0" fillId="8" borderId="0" pivotButton="0" quotePrefix="0" xfId="0"/>
    <xf numFmtId="0" fontId="6" fillId="9" borderId="0" applyAlignment="1" pivotButton="0" quotePrefix="0" xfId="0">
      <alignment horizontal="left" vertical="center" indent="1"/>
    </xf>
    <xf numFmtId="0" fontId="0" fillId="9" borderId="0" pivotButton="0" quotePrefix="0" xfId="0"/>
    <xf numFmtId="0" fontId="6" fillId="10" borderId="0" applyAlignment="1" pivotButton="0" quotePrefix="0" xfId="0">
      <alignment horizontal="left" vertical="center" indent="1"/>
    </xf>
    <xf numFmtId="0" fontId="0" fillId="10" borderId="0" pivotButton="0" quotePrefix="0" xfId="0"/>
    <xf numFmtId="0" fontId="6" fillId="11" borderId="0" applyAlignment="1" pivotButton="0" quotePrefix="0" xfId="0">
      <alignment horizontal="left" vertical="center" indent="1"/>
    </xf>
    <xf numFmtId="0" fontId="0" fillId="11" borderId="0" pivotButton="0" quotePrefix="0" xfId="0"/>
    <xf numFmtId="0" fontId="7" fillId="7" borderId="0" applyAlignment="1" pivotButton="0" quotePrefix="0" xfId="0">
      <alignment horizontal="left" vertical="center" indent="1"/>
    </xf>
    <xf numFmtId="0" fontId="7" fillId="8" borderId="0" applyAlignment="1" pivotButton="0" quotePrefix="0" xfId="0">
      <alignment horizontal="left" vertical="center" indent="1"/>
    </xf>
    <xf numFmtId="0" fontId="7" fillId="9" borderId="0" applyAlignment="1" pivotButton="0" quotePrefix="0" xfId="0">
      <alignment horizontal="left" vertical="center" indent="1"/>
    </xf>
    <xf numFmtId="0" fontId="7" fillId="10" borderId="0" applyAlignment="1" pivotButton="0" quotePrefix="0" xfId="0">
      <alignment horizontal="left" vertical="center" indent="1"/>
    </xf>
    <xf numFmtId="0" fontId="7" fillId="11"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8" fillId="9" borderId="0" applyAlignment="1" pivotButton="0" quotePrefix="0" xfId="0">
      <alignment horizontal="left" vertical="center" indent="1"/>
    </xf>
    <xf numFmtId="0" fontId="8" fillId="10" borderId="0" applyAlignment="1" pivotButton="0" quotePrefix="0" xfId="0">
      <alignment horizontal="left" vertical="center" indent="1"/>
    </xf>
    <xf numFmtId="0" fontId="8" fillId="11" borderId="0" applyAlignment="1" pivotButton="0" quotePrefix="0" xfId="0">
      <alignment horizontal="left" vertical="center" indent="1"/>
    </xf>
    <xf numFmtId="0" fontId="9" fillId="0" borderId="0" pivotButton="0" quotePrefix="0" xfId="0"/>
    <xf numFmtId="0" fontId="10" fillId="12" borderId="2" applyAlignment="1" pivotButton="0" quotePrefix="0" xfId="0">
      <alignment horizontal="center" vertical="center" wrapText="1"/>
    </xf>
    <xf numFmtId="0" fontId="0" fillId="0" borderId="2" pivotButton="0" quotePrefix="0" xfId="0"/>
    <xf numFmtId="0" fontId="5" fillId="2" borderId="0" applyAlignment="1" pivotButton="0" quotePrefix="0" xfId="0">
      <alignment horizontal="left" vertical="center" indent="1"/>
    </xf>
    <xf numFmtId="0" fontId="11" fillId="15" borderId="0" applyAlignment="1" pivotButton="0" quotePrefix="0" xfId="0">
      <alignment vertical="center" wrapText="1" indent="1"/>
    </xf>
    <xf numFmtId="0" fontId="0" fillId="15" borderId="0" pivotButton="0" quotePrefix="0" xfId="0"/>
    <xf numFmtId="0" fontId="10" fillId="13" borderId="2" applyAlignment="1" pivotButton="0" quotePrefix="0" xfId="0">
      <alignment horizontal="center" vertical="center" wrapText="1"/>
    </xf>
    <xf numFmtId="0" fontId="10" fillId="14" borderId="2" applyAlignment="1" pivotButton="0" quotePrefix="0" xfId="0">
      <alignment horizontal="center" vertical="center" wrapText="1"/>
    </xf>
    <xf numFmtId="0" fontId="3" fillId="2" borderId="0" applyAlignment="1" pivotButton="0" quotePrefix="0" xfId="0">
      <alignment horizontal="center" vertical="center" wrapText="1"/>
    </xf>
    <xf numFmtId="0" fontId="12" fillId="0" borderId="0" applyAlignment="1" pivotButton="0" quotePrefix="0" xfId="0">
      <alignment horizontal="center" vertical="center"/>
    </xf>
    <xf numFmtId="0" fontId="13" fillId="0" borderId="3" applyAlignment="1" pivotButton="0" quotePrefix="0" xfId="0">
      <alignment vertical="center" wrapText="1"/>
    </xf>
    <xf numFmtId="0" fontId="13" fillId="0" borderId="3" applyAlignment="1" pivotButton="0" quotePrefix="0" xfId="0">
      <alignment vertical="center"/>
    </xf>
    <xf numFmtId="0" fontId="13" fillId="0" borderId="3" applyAlignment="1" pivotButton="0" quotePrefix="0" xfId="0">
      <alignment horizontal="center" vertical="center"/>
    </xf>
    <xf numFmtId="0" fontId="12" fillId="16" borderId="3" applyAlignment="1" pivotButton="0" quotePrefix="0" xfId="0">
      <alignment horizontal="center" vertical="center"/>
    </xf>
    <xf numFmtId="0" fontId="14" fillId="0" borderId="3" applyAlignment="1" pivotButton="0" quotePrefix="0" xfId="0">
      <alignment vertical="center"/>
    </xf>
    <xf numFmtId="0" fontId="12" fillId="17" borderId="3" applyAlignment="1" pivotButton="0" quotePrefix="0" xfId="0">
      <alignment horizontal="center" vertical="center"/>
    </xf>
    <xf numFmtId="0" fontId="3" fillId="2" borderId="0" applyAlignment="1" pivotButton="0" quotePrefix="0" xfId="0">
      <alignment horizontal="center" wrapText="1"/>
    </xf>
    <xf numFmtId="0" fontId="13" fillId="0" borderId="3" pivotButton="0" quotePrefix="0" xfId="0"/>
    <xf numFmtId="0" fontId="13" fillId="16" borderId="3" pivotButton="0" quotePrefix="0" xfId="0"/>
    <xf numFmtId="164" fontId="13" fillId="0" borderId="3" pivotButton="0" quotePrefix="0" xfId="0"/>
    <xf numFmtId="0" fontId="13" fillId="17" borderId="3" pivotButton="0" quotePrefix="0" xfId="0"/>
    <xf numFmtId="0" fontId="12" fillId="0" borderId="0" pivotButton="0" quotePrefix="0" xfId="0"/>
    <xf numFmtId="0" fontId="13" fillId="0" borderId="3" applyAlignment="1" pivotButton="0" quotePrefix="0" xfId="0">
      <alignment vertical="top" wrapText="1"/>
    </xf>
    <xf numFmtId="0" fontId="12" fillId="16" borderId="3" applyAlignment="1" pivotButton="0" quotePrefix="0" xfId="0">
      <alignment vertical="top" wrapText="1"/>
    </xf>
    <xf numFmtId="0" fontId="12" fillId="17"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TARGETS BY GEOGRAPHY</a:t>
            </a:r>
          </a:p>
        </rich>
      </tx>
    </title>
    <plotArea>
      <pieChart>
        <varyColors val="1"/>
        <ser>
          <idx val="0"/>
          <order val="0"/>
          <tx>
            <strRef>
              <f>'Dashboard'!B11</f>
            </strRef>
          </tx>
          <spPr>
            <a:ln xmlns:a="http://schemas.openxmlformats.org/drawingml/2006/main">
              <a:prstDash val="solid"/>
            </a:ln>
          </spPr>
          <cat>
            <numRef>
              <f>'Dashboard'!$A$12</f>
            </numRef>
          </cat>
          <val>
            <numRef>
              <f>'Dashboard'!$B$12</f>
            </numRef>
          </val>
        </ser>
        <dLbls>
          <showLegendKey val="0"/>
          <showVal val="0"/>
          <showCatName val="0"/>
          <showSerName val="0"/>
          <showPercent val="1"/>
        </dLbls>
        <firstSliceAng val="0"/>
      </pieChart>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SELLER READINESS SCORE DISTRIBUTION</a:t>
            </a:r>
          </a:p>
        </rich>
      </tx>
    </title>
    <plotArea>
      <barChart>
        <barDir val="col"/>
        <grouping val="clustered"/>
        <ser>
          <idx val="0"/>
          <order val="0"/>
          <tx>
            <strRef>
              <f>'Dashboard'!E11</f>
            </strRef>
          </tx>
          <spPr>
            <a:ln xmlns:a="http://schemas.openxmlformats.org/drawingml/2006/main">
              <a:prstDash val="solid"/>
            </a:ln>
          </spPr>
          <cat>
            <numRef>
              <f>'Dashboard'!$D$12:$D$15</f>
            </numRef>
          </cat>
          <val>
            <numRef>
              <f>'Dashboard'!$E$12:$E$15</f>
            </numRef>
          </val>
        </ser>
        <dLbls>
          <showLegendKey val="0"/>
          <showVal val="1"/>
          <showCatName val="0"/>
          <showSerName val="0"/>
        </dLbls>
        <gapWidth val="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INDUSTRY BREAKDOWN</a:t>
            </a:r>
          </a:p>
        </rich>
      </tx>
    </title>
    <plotArea>
      <barChart>
        <barDir val="bar"/>
        <grouping val="clustered"/>
        <ser>
          <idx val="0"/>
          <order val="0"/>
          <tx>
            <strRef>
              <f>'Dashboard'!H11</f>
            </strRef>
          </tx>
          <spPr>
            <a:ln xmlns:a="http://schemas.openxmlformats.org/drawingml/2006/main">
              <a:prstDash val="solid"/>
            </a:ln>
          </spPr>
          <cat>
            <numRef>
              <f>'Dashboard'!$G$12:$G$15</f>
            </numRef>
          </cat>
          <val>
            <numRef>
              <f>'Dashboard'!$H$12:$H$15</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10</row>
      <rowOff>0</rowOff>
    </from>
    <ext cx="21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10</row>
      <rowOff>0</rowOff>
    </from>
    <ext cx="21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10</row>
      <rowOff>0</rowOff>
    </from>
    <ext cx="25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36"/>
  <sheetViews>
    <sheetView showGridLines="0" workbookViewId="0">
      <selection activeCell="A1" sqref="A1"/>
    </sheetView>
  </sheetViews>
  <sheetFormatPr baseColWidth="8" defaultRowHeight="15"/>
  <cols>
    <col width="6" customWidth="1" min="1" max="1"/>
    <col width="26" customWidth="1" min="2" max="2"/>
    <col width="20" customWidth="1" min="3" max="3"/>
    <col width="14" customWidth="1" min="4" max="4"/>
    <col width="14" customWidth="1" min="5" max="5"/>
    <col width="10" customWidth="1" min="6" max="6"/>
    <col width="13" customWidth="1" min="7" max="7"/>
    <col width="16" customWidth="1" min="8" max="8"/>
    <col width="12" customWidth="1" min="9" max="9"/>
    <col width="32"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26" customHeight="1">
      <c r="A1" s="1" t="inlineStr">
        <is>
          <t>Business Acquisition Targeting Dashboard</t>
        </is>
      </c>
      <c r="B1" s="2" t="n"/>
      <c r="C1" s="2" t="n"/>
      <c r="D1" s="2" t="n"/>
      <c r="E1" s="2" t="n"/>
      <c r="F1" s="2" t="n"/>
      <c r="G1" s="2" t="n"/>
      <c r="H1" s="3" t="inlineStr">
        <is>
          <t>Geography:</t>
        </is>
      </c>
      <c r="I1" s="4" t="n"/>
      <c r="J1" s="5" t="inlineStr">
        <is>
          <t>Data as of:</t>
        </is>
      </c>
      <c r="K1" s="2" t="n"/>
    </row>
    <row r="2" ht="18" customHeight="1">
      <c r="A2" s="6" t="inlineStr">
        <is>
          <t>Surface family-owned, founder-led businesses that fit the acquisition profile</t>
        </is>
      </c>
      <c r="B2" s="2" t="n"/>
      <c r="C2" s="2" t="n"/>
      <c r="D2" s="2" t="n"/>
      <c r="E2" s="2" t="n"/>
      <c r="F2" s="2" t="n"/>
      <c r="G2" s="2" t="n"/>
      <c r="H2" s="5" t="inlineStr">
        <is>
          <t>Florida</t>
        </is>
      </c>
      <c r="I2" s="4" t="n"/>
      <c r="J2" s="7" t="inlineStr">
        <is>
          <t>15-Jul-2026 09:59 PM</t>
        </is>
      </c>
      <c r="K2" s="2" t="n"/>
    </row>
    <row r="3" ht="4" customHeight="1">
      <c r="A3" s="2" t="n"/>
      <c r="B3" s="2" t="n"/>
      <c r="C3" s="2" t="n"/>
      <c r="D3" s="2" t="n"/>
      <c r="E3" s="2" t="n"/>
      <c r="F3" s="2" t="n"/>
      <c r="G3" s="2" t="n"/>
      <c r="H3" s="2" t="n"/>
      <c r="I3" s="2" t="n"/>
      <c r="J3" s="2" t="n"/>
      <c r="K3" s="2" t="n"/>
    </row>
    <row r="4" ht="24" customHeight="1">
      <c r="A4" s="8" t="inlineStr">
        <is>
          <t xml:space="preserve">  Founder-Led:  3</t>
        </is>
      </c>
      <c r="D4" s="9" t="inlineStr">
        <is>
          <t xml:space="preserve">  Family-Owned:  11</t>
        </is>
      </c>
      <c r="G4" s="10" t="inlineStr">
        <is>
          <t xml:space="preserve">  Highest Score:  105</t>
        </is>
      </c>
      <c r="J4" s="11" t="inlineStr">
        <is>
          <t xml:space="preserve">  New Today:  11</t>
        </is>
      </c>
    </row>
    <row r="5" ht="4" customHeight="1">
      <c r="A5" s="2" t="n"/>
      <c r="B5" s="2" t="n"/>
      <c r="C5" s="2" t="n"/>
      <c r="D5" s="2" t="n"/>
      <c r="E5" s="2" t="n"/>
      <c r="F5" s="2" t="n"/>
      <c r="G5" s="2" t="n"/>
      <c r="H5" s="2" t="n"/>
      <c r="I5" s="2" t="n"/>
      <c r="J5" s="2" t="n"/>
      <c r="K5" s="2" t="n"/>
    </row>
    <row r="6" ht="18" customHeight="1">
      <c r="A6" s="12" t="inlineStr">
        <is>
          <t>🎯 Total Targets Found</t>
        </is>
      </c>
      <c r="B6" s="13" t="n"/>
      <c r="C6" s="14" t="inlineStr">
        <is>
          <t>➕ New This Week</t>
        </is>
      </c>
      <c r="D6" s="15" t="n"/>
      <c r="E6" s="16" t="inlineStr">
        <is>
          <t>⭐ Shortlisted</t>
        </is>
      </c>
      <c r="F6" s="17" t="n"/>
      <c r="G6" s="17" t="n"/>
      <c r="H6" s="18" t="inlineStr">
        <is>
          <t>📋 In Review</t>
        </is>
      </c>
      <c r="I6" s="19" t="n"/>
      <c r="J6" s="20" t="inlineStr">
        <is>
          <t>✅ Reviewed</t>
        </is>
      </c>
      <c r="K6" s="21" t="n"/>
    </row>
    <row r="7" ht="30" customHeight="1">
      <c r="A7" s="22" t="n">
        <v>11</v>
      </c>
      <c r="B7" s="13" t="n"/>
      <c r="C7" s="23" t="n">
        <v>11</v>
      </c>
      <c r="D7" s="15" t="n"/>
      <c r="E7" s="24" t="n">
        <v>0</v>
      </c>
      <c r="F7" s="17" t="n"/>
      <c r="G7" s="17" t="n"/>
      <c r="H7" s="25" t="n">
        <v>11</v>
      </c>
      <c r="I7" s="19" t="n"/>
      <c r="J7" s="26" t="n">
        <v>0</v>
      </c>
      <c r="K7" s="21" t="n"/>
    </row>
    <row r="8" ht="16" customHeight="1">
      <c r="A8" s="27" t="inlineStr">
        <is>
          <t>All Time</t>
        </is>
      </c>
      <c r="B8" s="13" t="n"/>
      <c r="C8" s="28" t="inlineStr">
        <is>
          <t>vs Last Week: ↑ 9</t>
        </is>
      </c>
      <c r="D8" s="15" t="n"/>
      <c r="E8" s="29" t="inlineStr">
        <is>
          <t>vs Last Week: — 0</t>
        </is>
      </c>
      <c r="F8" s="17" t="n"/>
      <c r="G8" s="17" t="n"/>
      <c r="H8" s="30" t="inlineStr">
        <is>
          <t>vs Last Week: ↑ 9</t>
        </is>
      </c>
      <c r="I8" s="19" t="n"/>
      <c r="J8" s="31" t="inlineStr">
        <is>
          <t>vs Last Week: — 0</t>
        </is>
      </c>
      <c r="K8" s="21" t="n"/>
    </row>
    <row r="9" ht="8" customHeight="1">
      <c r="A9" s="13" t="n"/>
      <c r="B9" s="13" t="n"/>
      <c r="C9" s="15" t="n"/>
      <c r="D9" s="15" t="n"/>
      <c r="E9" s="17" t="n"/>
      <c r="F9" s="17" t="n"/>
      <c r="G9" s="17" t="n"/>
      <c r="H9" s="19" t="n"/>
      <c r="I9" s="19" t="n"/>
      <c r="J9" s="21" t="n"/>
      <c r="K9" s="21" t="n"/>
    </row>
    <row r="11" ht="22" customHeight="1">
      <c r="A11" s="32" t="inlineStr">
        <is>
          <t>State</t>
        </is>
      </c>
      <c r="B11" s="32" t="inlineStr">
        <is>
          <t>Count</t>
        </is>
      </c>
      <c r="D11" s="32" t="inlineStr">
        <is>
          <t>Band</t>
        </is>
      </c>
      <c r="E11" s="32" t="inlineStr">
        <is>
          <t>Count</t>
        </is>
      </c>
      <c r="G11" s="32" t="inlineStr">
        <is>
          <t>Industry</t>
        </is>
      </c>
      <c r="H11" s="33" t="inlineStr">
        <is>
          <t>📍 TOP GEOGRAPHY
Florida</t>
        </is>
      </c>
      <c r="I11" s="34" t="n"/>
      <c r="J11" s="35" t="inlineStr">
        <is>
          <t>Key Insights</t>
        </is>
      </c>
    </row>
    <row r="12" ht="16" customHeight="1">
      <c r="A12" s="32" t="inlineStr">
        <is>
          <t>Florida</t>
        </is>
      </c>
      <c r="B12" s="32" t="n">
        <v>11</v>
      </c>
      <c r="D12" s="32" t="inlineStr">
        <is>
          <t>20-40</t>
        </is>
      </c>
      <c r="E12" s="32" t="n">
        <v>0</v>
      </c>
      <c r="G12" s="32" t="inlineStr">
        <is>
          <t>Metal Fabrication ...</t>
        </is>
      </c>
      <c r="H12" s="34" t="n"/>
      <c r="I12" s="34" t="n"/>
      <c r="J12" s="36" t="inlineStr">
        <is>
          <t>• ✓ Founder-Led: 27%</t>
        </is>
      </c>
      <c r="K12" s="37" t="n"/>
    </row>
    <row r="13" ht="16" customHeight="1">
      <c r="D13" s="32" t="inlineStr">
        <is>
          <t>40-60</t>
        </is>
      </c>
      <c r="E13" s="32" t="n">
        <v>0</v>
      </c>
      <c r="G13" s="32" t="inlineStr">
        <is>
          <t>Commercial Printin...</t>
        </is>
      </c>
      <c r="H13" s="34" t="n"/>
      <c r="I13" s="34" t="n"/>
      <c r="J13" s="37" t="n"/>
      <c r="K13" s="37" t="n"/>
    </row>
    <row r="14" ht="16" customHeight="1">
      <c r="D14" s="32" t="inlineStr">
        <is>
          <t>60-80</t>
        </is>
      </c>
      <c r="E14" s="32" t="n">
        <v>8</v>
      </c>
      <c r="G14" s="32" t="inlineStr">
        <is>
          <t>Residential Constr...</t>
        </is>
      </c>
      <c r="H14" s="32" t="n">
        <v>1</v>
      </c>
      <c r="J14" s="36" t="inlineStr">
        <is>
          <t>• 🏠 Family-Owned: 100%</t>
        </is>
      </c>
      <c r="K14" s="37" t="n"/>
    </row>
    <row r="15" ht="16" customHeight="1">
      <c r="D15" s="32" t="inlineStr">
        <is>
          <t>80-100</t>
        </is>
      </c>
      <c r="E15" s="32" t="n">
        <v>0</v>
      </c>
      <c r="G15" s="32" t="inlineStr">
        <is>
          <t>Marine / Boat Manu...</t>
        </is>
      </c>
      <c r="H15" s="38" t="inlineStr">
        <is>
          <t>⭐ HIGHEST SCORE
105</t>
        </is>
      </c>
      <c r="I15" s="34" t="n"/>
      <c r="J15" s="37" t="n"/>
      <c r="K15" s="37" t="n"/>
    </row>
    <row r="16" ht="16" customHeight="1">
      <c r="H16" s="34" t="n"/>
      <c r="I16" s="34" t="n"/>
      <c r="J16" s="36" t="inlineStr">
        <is>
          <t>• 📍 Top Geography: Florida</t>
        </is>
      </c>
      <c r="K16" s="37" t="n"/>
    </row>
    <row r="17" ht="16" customHeight="1">
      <c r="H17" s="34" t="n"/>
      <c r="I17" s="34" t="n"/>
      <c r="J17" s="37" t="n"/>
      <c r="K17" s="37" t="n"/>
    </row>
    <row r="18" ht="16" customHeight="1">
      <c r="J18" s="36" t="inlineStr">
        <is>
          <t>• 🆕 New Targets: 11</t>
        </is>
      </c>
      <c r="K18" s="37" t="n"/>
    </row>
    <row r="19" ht="16" customHeight="1">
      <c r="H19" s="39" t="inlineStr">
        <is>
          <t>🏆 TOP INDUSTRY
Metal Fabrication ...</t>
        </is>
      </c>
      <c r="I19" s="34" t="n"/>
      <c r="J19" s="37" t="n"/>
      <c r="K19" s="37" t="n"/>
    </row>
    <row r="20" ht="16" customHeight="1">
      <c r="H20" s="34" t="n"/>
      <c r="I20" s="34" t="n"/>
      <c r="J20" s="36" t="inlineStr">
        <is>
          <t>• ⭐ High Scorers (80+): 3</t>
        </is>
      </c>
      <c r="K20" s="37" t="n"/>
    </row>
    <row r="21" ht="16" customHeight="1">
      <c r="H21" s="34" t="n"/>
      <c r="I21" s="34" t="n"/>
      <c r="J21" s="37" t="n"/>
      <c r="K21" s="37" t="n"/>
    </row>
    <row r="22" ht="16" customHeight="1">
      <c r="H22" s="34" t="n"/>
      <c r="I22" s="34" t="n"/>
      <c r="J22" s="37" t="n"/>
      <c r="K22" s="37" t="n"/>
    </row>
    <row r="25" ht="26" customHeight="1">
      <c r="A25" s="40" t="inlineStr">
        <is>
          <t>Rank</t>
        </is>
      </c>
      <c r="B25" s="40" t="inlineStr">
        <is>
          <t>Company Name</t>
        </is>
      </c>
      <c r="C25" s="40" t="inlineStr">
        <is>
          <t>Founder Name</t>
        </is>
      </c>
      <c r="D25" s="40" t="inlineStr">
        <is>
          <t>Founder Age (Est.)</t>
        </is>
      </c>
      <c r="E25" s="40" t="inlineStr">
        <is>
          <t>Years in Business</t>
        </is>
      </c>
      <c r="F25" s="40" t="inlineStr">
        <is>
          <t>State</t>
        </is>
      </c>
      <c r="G25" s="40" t="inlineStr">
        <is>
          <t>Readiness Score</t>
        </is>
      </c>
      <c r="H25" s="40" t="inlineStr">
        <is>
          <t>Ownership Status</t>
        </is>
      </c>
      <c r="I25" s="40" t="inlineStr">
        <is>
          <t>Status</t>
        </is>
      </c>
      <c r="J25" s="40" t="inlineStr">
        <is>
          <t>Why Selected</t>
        </is>
      </c>
      <c r="K25" s="40" t="inlineStr">
        <is>
          <t>Ownership Tenure</t>
        </is>
      </c>
    </row>
    <row r="26">
      <c r="A26" s="41" t="n">
        <v>1</v>
      </c>
      <c r="B26" s="42" t="inlineStr">
        <is>
          <t>Charles Clayton Construction</t>
        </is>
      </c>
      <c r="C26" s="42" t="inlineStr">
        <is>
          <t>Charles "Charlie" Clayton III</t>
        </is>
      </c>
      <c r="D26" s="43" t="inlineStr">
        <is>
          <t>Approximately 59 years old as of a 2020 profile (would be approximately 65 in 2026)</t>
        </is>
      </c>
      <c r="E26" s="44" t="n">
        <v>32</v>
      </c>
      <c r="F26" s="43" t="inlineStr">
        <is>
          <t>FL</t>
        </is>
      </c>
      <c r="G26" s="45" t="n">
        <v>105</v>
      </c>
      <c r="H26" s="43" t="inlineStr">
        <is>
          <t>Founder Owned</t>
        </is>
      </c>
      <c r="I26" s="46" t="inlineStr">
        <is>
          <t>New</t>
        </is>
      </c>
      <c r="J26" s="42" t="inlineStr">
        <is>
          <t>Founder-led Florida custom homebuilder, ~32 years in business, founder nearing retirement age.</t>
        </is>
      </c>
      <c r="K26" s="43" t="n">
        <v>32</v>
      </c>
    </row>
    <row r="27">
      <c r="A27" s="41" t="n">
        <v>2</v>
      </c>
      <c r="B27" s="42" t="inlineStr">
        <is>
          <t>Monterey Boats (Marine Industries of Florida)</t>
        </is>
      </c>
      <c r="C27" s="42" t="inlineStr">
        <is>
          <t>Charles Marshall and Jeff Marshall</t>
        </is>
      </c>
      <c r="D27" s="43" t="inlineStr">
        <is>
          <t>Unknown</t>
        </is>
      </c>
      <c r="E27" s="44" t="n">
        <v>41</v>
      </c>
      <c r="F27" s="43" t="inlineStr">
        <is>
          <t>FL</t>
        </is>
      </c>
      <c r="G27" s="45" t="n">
        <v>100</v>
      </c>
      <c r="H27" s="43" t="inlineStr">
        <is>
          <t>Founder Owned</t>
        </is>
      </c>
      <c r="I27" s="46" t="inlineStr">
        <is>
          <t>New</t>
        </is>
      </c>
      <c r="J27" s="42" t="inlineStr">
        <is>
          <t>41-year-old founder-led, family-owned boat maker with $83M revenue and top seller-readiness score.</t>
        </is>
      </c>
      <c r="K27" s="43" t="n">
        <v>41</v>
      </c>
    </row>
    <row r="28">
      <c r="A28" s="41" t="n">
        <v>3</v>
      </c>
      <c r="B28" s="42" t="inlineStr">
        <is>
          <t>Prime Line</t>
        </is>
      </c>
      <c r="C28" s="42" t="inlineStr">
        <is>
          <t>Gianni Landi</t>
        </is>
      </c>
      <c r="D28" s="43" t="inlineStr">
        <is>
          <t>Unknown</t>
        </is>
      </c>
      <c r="E28" s="44" t="n">
        <v>45</v>
      </c>
      <c r="F28" s="43" t="inlineStr">
        <is>
          <t>Florida</t>
        </is>
      </c>
      <c r="G28" s="45" t="n">
        <v>100</v>
      </c>
      <c r="H28" s="43" t="inlineStr">
        <is>
          <t>Family Owned</t>
        </is>
      </c>
      <c r="I28" s="46" t="inlineStr">
        <is>
          <t>New</t>
        </is>
      </c>
      <c r="J28" s="42" t="inlineStr">
        <is>
          <t>45-year-old family-owned Florida specialty food distributor with $45M+ estimated revenue and top readiness score.</t>
        </is>
      </c>
      <c r="K28" s="43" t="n">
        <v>45</v>
      </c>
    </row>
    <row r="29">
      <c r="A29" s="41" t="n">
        <v>4</v>
      </c>
      <c r="B29" s="42" t="inlineStr">
        <is>
          <t>Metro Steel USA</t>
        </is>
      </c>
      <c r="C29" s="42" t="inlineStr">
        <is>
          <t>Charles "Chuck" Shepherd</t>
        </is>
      </c>
      <c r="D29" s="43" t="inlineStr">
        <is>
          <t>Unknown</t>
        </is>
      </c>
      <c r="E29" s="44" t="n">
        <v>52</v>
      </c>
      <c r="F29" s="43" t="inlineStr">
        <is>
          <t>Florida</t>
        </is>
      </c>
      <c r="G29" s="45" t="n">
        <v>75</v>
      </c>
      <c r="H29" s="43" t="inlineStr">
        <is>
          <t>Family Owned</t>
        </is>
      </c>
      <c r="I29" s="46" t="inlineStr">
        <is>
          <t>New</t>
        </is>
      </c>
      <c r="J29" s="42" t="inlineStr">
        <is>
          <t>52-year-old family-owned steel fabricator with strong certifications and a high readiness score.</t>
        </is>
      </c>
      <c r="K29" s="43" t="n">
        <v>25</v>
      </c>
    </row>
    <row r="30">
      <c r="A30" s="41" t="n">
        <v>5</v>
      </c>
      <c r="B30" s="42" t="inlineStr">
        <is>
          <t>Executive Printers of Florida</t>
        </is>
      </c>
      <c r="C30" s="42" t="inlineStr">
        <is>
          <t>Stanley Gardner</t>
        </is>
      </c>
      <c r="D30" s="43" t="inlineStr">
        <is>
          <t>Unknown</t>
        </is>
      </c>
      <c r="E30" s="44" t="n">
        <v>54</v>
      </c>
      <c r="F30" s="43" t="inlineStr">
        <is>
          <t>Florida</t>
        </is>
      </c>
      <c r="G30" s="47" t="n">
        <v>60</v>
      </c>
      <c r="H30" s="43" t="inlineStr">
        <is>
          <t>Family Owned</t>
        </is>
      </c>
      <c r="I30" s="46" t="inlineStr">
        <is>
          <t>New</t>
        </is>
      </c>
      <c r="J30" s="42" t="inlineStr">
        <is>
          <t>Multi-generational family printing firm with succession signals, but financials remain unverified.</t>
        </is>
      </c>
      <c r="K30" s="43" t="n"/>
    </row>
    <row r="31">
      <c r="A31" s="41" t="n">
        <v>6</v>
      </c>
      <c r="B31" s="42" t="inlineStr">
        <is>
          <t>Great Bay Distributors</t>
        </is>
      </c>
      <c r="C31" s="42" t="inlineStr">
        <is>
          <t>Claude and Nina Focardi</t>
        </is>
      </c>
      <c r="D31" s="43" t="inlineStr">
        <is>
          <t>Unknown</t>
        </is>
      </c>
      <c r="E31" s="44" t="n">
        <v>58</v>
      </c>
      <c r="F31" s="43" t="inlineStr">
        <is>
          <t>Florida</t>
        </is>
      </c>
      <c r="G31" s="47" t="n">
        <v>60</v>
      </c>
      <c r="H31" s="43" t="inlineStr">
        <is>
          <t>Family Owned</t>
        </is>
      </c>
      <c r="I31" s="46" t="inlineStr">
        <is>
          <t>New</t>
        </is>
      </c>
      <c r="J31" s="42" t="inlineStr">
        <is>
          <t>58-year-old family-owned Florida beverage distributor with major infrastructure and scale, revenue unclear.</t>
        </is>
      </c>
      <c r="K31" s="43" t="n"/>
    </row>
    <row r="32">
      <c r="A32" s="41" t="n">
        <v>7</v>
      </c>
      <c r="B32" s="42" t="inlineStr">
        <is>
          <t>Woodruff &amp; Sons</t>
        </is>
      </c>
      <c r="C32" s="42" t="inlineStr">
        <is>
          <t>Roy Woodruff</t>
        </is>
      </c>
      <c r="D32" s="43" t="inlineStr">
        <is>
          <t>Unknown</t>
        </is>
      </c>
      <c r="E32" s="44" t="n">
        <v>80</v>
      </c>
      <c r="F32" s="43" t="inlineStr">
        <is>
          <t>Florida</t>
        </is>
      </c>
      <c r="G32" s="47" t="n">
        <v>60</v>
      </c>
      <c r="H32" s="43" t="inlineStr">
        <is>
          <t>Family Owned</t>
        </is>
      </c>
      <c r="I32" s="46" t="inlineStr">
        <is>
          <t>New</t>
        </is>
      </c>
      <c r="J32" s="42" t="inlineStr">
        <is>
          <t>80-year family-owned Florida heavy civil contractor with active licenses and multi-gen leadership.</t>
        </is>
      </c>
      <c r="K32" s="43" t="n"/>
    </row>
    <row r="33">
      <c r="A33" s="41" t="n">
        <v>8</v>
      </c>
      <c r="B33" s="42" t="inlineStr">
        <is>
          <t>Trans-Phos</t>
        </is>
      </c>
      <c r="C33" s="42" t="inlineStr">
        <is>
          <t>Sam Whitney</t>
        </is>
      </c>
      <c r="D33" s="43" t="inlineStr">
        <is>
          <t>Unknown</t>
        </is>
      </c>
      <c r="E33" s="44" t="n">
        <v>53</v>
      </c>
      <c r="F33" s="43" t="inlineStr">
        <is>
          <t>Florida</t>
        </is>
      </c>
      <c r="G33" s="47" t="n">
        <v>60</v>
      </c>
      <c r="H33" s="43" t="inlineStr">
        <is>
          <t>Family Owned</t>
        </is>
      </c>
      <c r="I33" s="46" t="inlineStr">
        <is>
          <t>New</t>
        </is>
      </c>
      <c r="J33" s="42" t="inlineStr">
        <is>
          <t>53-year-old family-owned Florida trucking firm with multi-gen leadership and moderate seller readiness.</t>
        </is>
      </c>
      <c r="K33" s="43" t="n"/>
    </row>
    <row r="34">
      <c r="A34" s="41" t="n">
        <v>9</v>
      </c>
      <c r="B34" s="42" t="inlineStr">
        <is>
          <t>Gandy Printers</t>
        </is>
      </c>
      <c r="C34" s="42" t="inlineStr">
        <is>
          <t>Bernie Gandy Jr.</t>
        </is>
      </c>
      <c r="D34" s="43" t="inlineStr">
        <is>
          <t>Unknown</t>
        </is>
      </c>
      <c r="E34" s="44" t="n">
        <v>56</v>
      </c>
      <c r="F34" s="43" t="inlineStr">
        <is>
          <t>Florida</t>
        </is>
      </c>
      <c r="G34" s="47" t="n">
        <v>60</v>
      </c>
      <c r="H34" s="43" t="inlineStr">
        <is>
          <t>Family Owned</t>
        </is>
      </c>
      <c r="I34" s="46" t="inlineStr">
        <is>
          <t>New</t>
        </is>
      </c>
      <c r="J34" s="42" t="inlineStr">
        <is>
          <t>56-year-old family-owned Florida print shop, now led by next-gen successor, shows moderate sale readiness.</t>
        </is>
      </c>
      <c r="K34" s="43" t="n"/>
    </row>
    <row r="35">
      <c r="A35" s="41" t="n">
        <v>10</v>
      </c>
      <c r="B35" s="42" t="inlineStr">
        <is>
          <t>American Metal Products</t>
        </is>
      </c>
      <c r="C35" s="42" t="inlineStr">
        <is>
          <t>NaN</t>
        </is>
      </c>
      <c r="D35" s="43" t="inlineStr">
        <is>
          <t>Unknown</t>
        </is>
      </c>
      <c r="E35" s="44" t="n">
        <v>44</v>
      </c>
      <c r="F35" s="43" t="inlineStr">
        <is>
          <t>Florida</t>
        </is>
      </c>
      <c r="G35" s="47" t="n">
        <v>60</v>
      </c>
      <c r="H35" s="43" t="inlineStr">
        <is>
          <t>Family Owned</t>
        </is>
      </c>
      <c r="I35" s="46" t="inlineStr">
        <is>
          <t>New</t>
        </is>
      </c>
      <c r="J35" s="42" t="inlineStr">
        <is>
          <t>44-year-old family-owned Florida metal fabricator with multi-generational leadership; financials unconfirmed.</t>
        </is>
      </c>
      <c r="K35" s="43" t="n"/>
    </row>
    <row r="36">
      <c r="A36" s="41" t="n">
        <v>11</v>
      </c>
      <c r="B36" s="42" t="inlineStr">
        <is>
          <t>Carroll Distributing Company</t>
        </is>
      </c>
      <c r="C36" s="42" t="inlineStr">
        <is>
          <t>Chad Carroll</t>
        </is>
      </c>
      <c r="D36" s="43" t="inlineStr">
        <is>
          <t>Unknown</t>
        </is>
      </c>
      <c r="E36" s="44" t="n">
        <v>66</v>
      </c>
      <c r="F36" s="43" t="inlineStr">
        <is>
          <t>Florida</t>
        </is>
      </c>
      <c r="G36" s="47" t="n">
        <v>60</v>
      </c>
      <c r="H36" s="43" t="inlineStr">
        <is>
          <t>Family Owned</t>
        </is>
      </c>
      <c r="I36" s="46" t="inlineStr">
        <is>
          <t>New</t>
        </is>
      </c>
      <c r="J36" s="42" t="inlineStr">
        <is>
          <t>66-year-old family-run FL beer/wine/spirits distributor with multi-generational leadership and moderate seller readiness.</t>
        </is>
      </c>
      <c r="K36" s="43" t="n"/>
    </row>
  </sheetData>
  <autoFilter ref="A25:K25"/>
  <mergeCells count="38">
    <mergeCell ref="C6:D6"/>
    <mergeCell ref="H15:I17"/>
    <mergeCell ref="H1:I1"/>
    <mergeCell ref="J16:K17"/>
    <mergeCell ref="E9:G9"/>
    <mergeCell ref="A6:B6"/>
    <mergeCell ref="E6:G6"/>
    <mergeCell ref="H9:I9"/>
    <mergeCell ref="J9:K9"/>
    <mergeCell ref="A2:F2"/>
    <mergeCell ref="J18:K19"/>
    <mergeCell ref="H6:I6"/>
    <mergeCell ref="A7:B7"/>
    <mergeCell ref="J6:K6"/>
    <mergeCell ref="J12:K13"/>
    <mergeCell ref="D4:F4"/>
    <mergeCell ref="H19:I22"/>
    <mergeCell ref="G4:I4"/>
    <mergeCell ref="C9:D9"/>
    <mergeCell ref="A4:C4"/>
    <mergeCell ref="E7:G7"/>
    <mergeCell ref="J14:K15"/>
    <mergeCell ref="J4:K4"/>
    <mergeCell ref="H2:I2"/>
    <mergeCell ref="J11:K11"/>
    <mergeCell ref="H11:I13"/>
    <mergeCell ref="J20:K22"/>
    <mergeCell ref="H7:I7"/>
    <mergeCell ref="J7:K7"/>
    <mergeCell ref="A8:B8"/>
    <mergeCell ref="C8:D8"/>
    <mergeCell ref="C7:D7"/>
    <mergeCell ref="J2:K2"/>
    <mergeCell ref="A1:F1"/>
    <mergeCell ref="E8:G8"/>
    <mergeCell ref="H8:I8"/>
    <mergeCell ref="A9:B9"/>
    <mergeCell ref="J8:K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 width="12" customWidth="1" min="5" max="5"/>
    <col width="14" customWidth="1" min="6" max="6"/>
    <col width="20" customWidth="1" min="7" max="7"/>
    <col width="12" customWidth="1" min="8" max="8"/>
    <col width="12" customWidth="1" min="9" max="9"/>
    <col width="14" customWidth="1" min="10" max="10"/>
    <col width="16" customWidth="1" min="11" max="11"/>
    <col width="14" customWidth="1" min="12" max="12"/>
    <col width="14" customWidth="1" min="13" max="13"/>
    <col width="14" customWidth="1" min="14" max="14"/>
  </cols>
  <sheetData>
    <row r="1">
      <c r="A1" s="48" t="inlineStr">
        <is>
          <t>Company Name</t>
        </is>
      </c>
      <c r="B1" s="48" t="inlineStr">
        <is>
          <t>State</t>
        </is>
      </c>
      <c r="C1" s="48" t="inlineStr">
        <is>
          <t>Industry</t>
        </is>
      </c>
      <c r="D1" s="48" t="inlineStr">
        <is>
          <t>Company Type</t>
        </is>
      </c>
      <c r="E1" s="48" t="inlineStr">
        <is>
          <t>Founded Year</t>
        </is>
      </c>
      <c r="F1" s="48" t="inlineStr">
        <is>
          <t>Years in Business</t>
        </is>
      </c>
      <c r="G1" s="48" t="inlineStr">
        <is>
          <t>Founder Name</t>
        </is>
      </c>
      <c r="H1" s="48" t="inlineStr">
        <is>
          <t>Founder Led</t>
        </is>
      </c>
      <c r="I1" s="48" t="inlineStr">
        <is>
          <t>Family Owned</t>
        </is>
      </c>
      <c r="J1" s="48" t="inlineStr">
        <is>
          <t>Founder Age Est.</t>
        </is>
      </c>
      <c r="K1" s="48" t="inlineStr">
        <is>
          <t>Seller Readiness Score</t>
        </is>
      </c>
      <c r="L1" s="48" t="inlineStr">
        <is>
          <t>Review Status</t>
        </is>
      </c>
      <c r="M1" s="48" t="inlineStr">
        <is>
          <t>First Seen</t>
        </is>
      </c>
      <c r="N1" s="48" t="inlineStr">
        <is>
          <t>Last Seen</t>
        </is>
      </c>
    </row>
    <row r="2">
      <c r="A2" s="49" t="inlineStr">
        <is>
          <t>Charles Clayton Construction</t>
        </is>
      </c>
      <c r="B2" s="49" t="inlineStr">
        <is>
          <t>FL</t>
        </is>
      </c>
      <c r="C2" s="49" t="inlineStr">
        <is>
          <t>Residential Construction / Custom Homebuilding</t>
        </is>
      </c>
      <c r="D2" s="49" t="inlineStr">
        <is>
          <t>Private</t>
        </is>
      </c>
      <c r="E2" s="49" t="inlineStr">
        <is>
          <t>1994</t>
        </is>
      </c>
      <c r="F2" s="49" t="n">
        <v>32</v>
      </c>
      <c r="G2" s="49" t="inlineStr">
        <is>
          <t>Charles "Charlie" Clayton III</t>
        </is>
      </c>
      <c r="H2" s="49" t="inlineStr">
        <is>
          <t>Yes</t>
        </is>
      </c>
      <c r="I2" s="49" t="inlineStr">
        <is>
          <t>Yes</t>
        </is>
      </c>
      <c r="J2" s="49" t="inlineStr">
        <is>
          <t>Approximately 59 years old as of a 2020 profile (would be approximately 65 in 2026)</t>
        </is>
      </c>
      <c r="K2" s="50" t="n">
        <v>105</v>
      </c>
      <c r="L2" s="49" t="inlineStr">
        <is>
          <t>New</t>
        </is>
      </c>
      <c r="M2" s="51" t="n">
        <v>46218</v>
      </c>
      <c r="N2" s="51" t="n">
        <v>46218</v>
      </c>
    </row>
    <row r="3">
      <c r="A3" s="49" t="inlineStr">
        <is>
          <t>Monterey Boats (Marine Industries of Florida)</t>
        </is>
      </c>
      <c r="B3" s="49" t="inlineStr">
        <is>
          <t>FL</t>
        </is>
      </c>
      <c r="C3" s="49" t="inlineStr">
        <is>
          <t>Marine / Boat Manufacturing</t>
        </is>
      </c>
      <c r="D3" s="49" t="inlineStr">
        <is>
          <t>Private</t>
        </is>
      </c>
      <c r="E3" s="49" t="inlineStr">
        <is>
          <t>1985</t>
        </is>
      </c>
      <c r="F3" s="49" t="n">
        <v>41</v>
      </c>
      <c r="G3" s="49" t="inlineStr">
        <is>
          <t>Charles Marshall and Jeff Marshall</t>
        </is>
      </c>
      <c r="H3" s="49" t="inlineStr">
        <is>
          <t>Yes</t>
        </is>
      </c>
      <c r="I3" s="49" t="inlineStr">
        <is>
          <t>Yes</t>
        </is>
      </c>
      <c r="J3" s="49" t="inlineStr">
        <is>
          <t>Unknown</t>
        </is>
      </c>
      <c r="K3" s="50" t="n">
        <v>100</v>
      </c>
      <c r="L3" s="49" t="inlineStr">
        <is>
          <t>New</t>
        </is>
      </c>
      <c r="M3" s="51" t="n">
        <v>46218</v>
      </c>
      <c r="N3" s="51" t="n">
        <v>46218</v>
      </c>
    </row>
    <row r="4">
      <c r="A4" s="49" t="inlineStr">
        <is>
          <t>Prime Line</t>
        </is>
      </c>
      <c r="B4" s="49" t="inlineStr">
        <is>
          <t>Florida</t>
        </is>
      </c>
      <c r="C4" s="49" t="inlineStr">
        <is>
          <t>Specialty Food Import &amp; Distribution (Wholesale Trade - Nondurable Goods)</t>
        </is>
      </c>
      <c r="D4" s="49" t="inlineStr">
        <is>
          <t>Private</t>
        </is>
      </c>
      <c r="E4" s="49" t="inlineStr">
        <is>
          <t>1981</t>
        </is>
      </c>
      <c r="F4" s="49" t="n">
        <v>45</v>
      </c>
      <c r="G4" s="49" t="inlineStr">
        <is>
          <t>Gianni Landi</t>
        </is>
      </c>
      <c r="H4" s="49" t="inlineStr">
        <is>
          <t>Yes</t>
        </is>
      </c>
      <c r="I4" s="49" t="inlineStr">
        <is>
          <t>Yes</t>
        </is>
      </c>
      <c r="J4" s="49" t="inlineStr">
        <is>
          <t>Unknown</t>
        </is>
      </c>
      <c r="K4" s="50" t="n">
        <v>100</v>
      </c>
      <c r="L4" s="49" t="inlineStr">
        <is>
          <t>New</t>
        </is>
      </c>
      <c r="M4" s="51" t="n">
        <v>46218</v>
      </c>
      <c r="N4" s="51" t="n">
        <v>46218</v>
      </c>
    </row>
    <row r="5">
      <c r="A5" s="49" t="inlineStr">
        <is>
          <t>Metro Steel USA</t>
        </is>
      </c>
      <c r="B5" s="49" t="inlineStr">
        <is>
          <t>Florida</t>
        </is>
      </c>
      <c r="C5" s="49" t="inlineStr">
        <is>
          <t>Metal Fabrication &amp; Steel Distribution (Fabricated Metal Products)</t>
        </is>
      </c>
      <c r="D5" s="49" t="inlineStr">
        <is>
          <t>Private</t>
        </is>
      </c>
      <c r="E5" s="49" t="inlineStr">
        <is>
          <t>1974</t>
        </is>
      </c>
      <c r="F5" s="49" t="n">
        <v>52</v>
      </c>
      <c r="G5" s="49" t="inlineStr">
        <is>
          <t>Charles "Chuck" Shepherd</t>
        </is>
      </c>
      <c r="H5" s="49" t="inlineStr">
        <is>
          <t>No</t>
        </is>
      </c>
      <c r="I5" s="49" t="inlineStr">
        <is>
          <t>Yes</t>
        </is>
      </c>
      <c r="J5" s="49" t="inlineStr">
        <is>
          <t>Unknown</t>
        </is>
      </c>
      <c r="K5" s="50" t="n">
        <v>75</v>
      </c>
      <c r="L5" s="49" t="inlineStr">
        <is>
          <t>New</t>
        </is>
      </c>
      <c r="M5" s="51" t="n">
        <v>46218</v>
      </c>
      <c r="N5" s="51" t="n">
        <v>46218</v>
      </c>
    </row>
    <row r="6">
      <c r="A6" s="49" t="inlineStr">
        <is>
          <t>Executive Printers of Florida</t>
        </is>
      </c>
      <c r="B6" s="49" t="inlineStr">
        <is>
          <t>Florida</t>
        </is>
      </c>
      <c r="C6" s="49" t="inlineStr">
        <is>
          <t>Commercial Printing Services</t>
        </is>
      </c>
      <c r="D6" s="49" t="inlineStr">
        <is>
          <t>Private</t>
        </is>
      </c>
      <c r="E6" s="49" t="inlineStr">
        <is>
          <t>1972</t>
        </is>
      </c>
      <c r="F6" s="49" t="n">
        <v>54</v>
      </c>
      <c r="G6" s="49" t="inlineStr">
        <is>
          <t>Stanley Gardner</t>
        </is>
      </c>
      <c r="H6" s="49" t="inlineStr">
        <is>
          <t>No</t>
        </is>
      </c>
      <c r="I6" s="49" t="inlineStr">
        <is>
          <t>Yes</t>
        </is>
      </c>
      <c r="J6" s="49" t="inlineStr">
        <is>
          <t>Unknown</t>
        </is>
      </c>
      <c r="K6" s="52" t="n">
        <v>60</v>
      </c>
      <c r="L6" s="49" t="inlineStr">
        <is>
          <t>New</t>
        </is>
      </c>
      <c r="M6" s="51" t="n">
        <v>46218</v>
      </c>
      <c r="N6" s="51" t="n">
        <v>46218</v>
      </c>
    </row>
    <row r="7">
      <c r="A7" s="49" t="inlineStr">
        <is>
          <t>Great Bay Distributors</t>
        </is>
      </c>
      <c r="B7" s="49" t="inlineStr">
        <is>
          <t>Florida</t>
        </is>
      </c>
      <c r="C7" s="49" t="inlineStr">
        <is>
          <t>Beverage Wholesale Distribution (Beer, Wine &amp; Spirits)</t>
        </is>
      </c>
      <c r="D7" s="49" t="inlineStr">
        <is>
          <t>Private</t>
        </is>
      </c>
      <c r="E7" s="49" t="inlineStr">
        <is>
          <t>1968</t>
        </is>
      </c>
      <c r="F7" s="49" t="n">
        <v>58</v>
      </c>
      <c r="G7" s="49" t="inlineStr">
        <is>
          <t>Claude and Nina Focardi</t>
        </is>
      </c>
      <c r="H7" s="49" t="inlineStr">
        <is>
          <t>No</t>
        </is>
      </c>
      <c r="I7" s="49" t="inlineStr">
        <is>
          <t>Yes</t>
        </is>
      </c>
      <c r="J7" s="49" t="inlineStr">
        <is>
          <t>Unknown</t>
        </is>
      </c>
      <c r="K7" s="52" t="n">
        <v>60</v>
      </c>
      <c r="L7" s="49" t="inlineStr">
        <is>
          <t>New</t>
        </is>
      </c>
      <c r="M7" s="51" t="n">
        <v>46218</v>
      </c>
      <c r="N7" s="51" t="n">
        <v>46218</v>
      </c>
    </row>
    <row r="8">
      <c r="A8" s="49" t="inlineStr">
        <is>
          <t>Woodruff &amp; Sons</t>
        </is>
      </c>
      <c r="B8" s="49" t="inlineStr">
        <is>
          <t>Florida</t>
        </is>
      </c>
      <c r="C8" s="49" t="inlineStr">
        <is>
          <t>Construction (Heavy Civil / Underground Utility &amp; Roadway Construction)</t>
        </is>
      </c>
      <c r="D8" s="49" t="inlineStr">
        <is>
          <t>Private</t>
        </is>
      </c>
      <c r="E8" s="49" t="inlineStr">
        <is>
          <t>1946</t>
        </is>
      </c>
      <c r="F8" s="49" t="n">
        <v>80</v>
      </c>
      <c r="G8" s="49" t="inlineStr">
        <is>
          <t>Roy Woodruff</t>
        </is>
      </c>
      <c r="H8" s="49" t="inlineStr">
        <is>
          <t>No</t>
        </is>
      </c>
      <c r="I8" s="49" t="inlineStr">
        <is>
          <t>Yes</t>
        </is>
      </c>
      <c r="J8" s="49" t="inlineStr">
        <is>
          <t>Unknown</t>
        </is>
      </c>
      <c r="K8" s="52" t="n">
        <v>60</v>
      </c>
      <c r="L8" s="49" t="inlineStr">
        <is>
          <t>New</t>
        </is>
      </c>
      <c r="M8" s="51" t="n">
        <v>46218</v>
      </c>
      <c r="N8" s="51" t="n">
        <v>46218</v>
      </c>
    </row>
    <row r="9">
      <c r="A9" s="49" t="inlineStr">
        <is>
          <t>Trans-Phos</t>
        </is>
      </c>
      <c r="B9" s="49" t="inlineStr">
        <is>
          <t>Florida</t>
        </is>
      </c>
      <c r="C9" s="49" t="inlineStr">
        <is>
          <t>Trucking / Bulk Transportation (General Freight Trucking; phosphate rock, aggregate, and construction materials hauling)</t>
        </is>
      </c>
      <c r="D9" s="49" t="inlineStr">
        <is>
          <t>Private</t>
        </is>
      </c>
      <c r="E9" s="49" t="inlineStr">
        <is>
          <t>1973</t>
        </is>
      </c>
      <c r="F9" s="49" t="n">
        <v>53</v>
      </c>
      <c r="G9" s="49" t="inlineStr">
        <is>
          <t>Sam Whitney</t>
        </is>
      </c>
      <c r="H9" s="49" t="inlineStr">
        <is>
          <t>No</t>
        </is>
      </c>
      <c r="I9" s="49" t="inlineStr">
        <is>
          <t>Yes</t>
        </is>
      </c>
      <c r="J9" s="49" t="inlineStr">
        <is>
          <t>Unknown</t>
        </is>
      </c>
      <c r="K9" s="52" t="n">
        <v>60</v>
      </c>
      <c r="L9" s="49" t="inlineStr">
        <is>
          <t>New</t>
        </is>
      </c>
      <c r="M9" s="51" t="n">
        <v>46218</v>
      </c>
      <c r="N9" s="51" t="n">
        <v>46218</v>
      </c>
    </row>
    <row r="10">
      <c r="A10" s="49" t="inlineStr">
        <is>
          <t>Gandy Printers</t>
        </is>
      </c>
      <c r="B10" s="49" t="inlineStr">
        <is>
          <t>Florida</t>
        </is>
      </c>
      <c r="C10" s="49" t="inlineStr">
        <is>
          <t>Commercial Printing Services</t>
        </is>
      </c>
      <c r="D10" s="49" t="inlineStr">
        <is>
          <t>Private</t>
        </is>
      </c>
      <c r="E10" s="49" t="inlineStr">
        <is>
          <t>1970</t>
        </is>
      </c>
      <c r="F10" s="49" t="n">
        <v>56</v>
      </c>
      <c r="G10" s="49" t="inlineStr">
        <is>
          <t>Bernie Gandy Jr.</t>
        </is>
      </c>
      <c r="H10" s="49" t="inlineStr">
        <is>
          <t>No</t>
        </is>
      </c>
      <c r="I10" s="49" t="inlineStr">
        <is>
          <t>Yes</t>
        </is>
      </c>
      <c r="J10" s="49" t="inlineStr">
        <is>
          <t>Unknown</t>
        </is>
      </c>
      <c r="K10" s="52" t="n">
        <v>60</v>
      </c>
      <c r="L10" s="49" t="inlineStr">
        <is>
          <t>New</t>
        </is>
      </c>
      <c r="M10" s="51" t="n">
        <v>46218</v>
      </c>
      <c r="N10" s="51" t="n">
        <v>46218</v>
      </c>
    </row>
    <row r="11">
      <c r="A11" s="49" t="inlineStr">
        <is>
          <t>American Metal Products</t>
        </is>
      </c>
      <c r="B11" s="49" t="inlineStr">
        <is>
          <t>Florida</t>
        </is>
      </c>
      <c r="C11" s="49" t="inlineStr">
        <is>
          <t>Metal Fabrication / Fabricated Metal Products Manufacturing</t>
        </is>
      </c>
      <c r="D11" s="49" t="inlineStr">
        <is>
          <t>Private</t>
        </is>
      </c>
      <c r="E11" s="49" t="inlineStr">
        <is>
          <t>1982</t>
        </is>
      </c>
      <c r="F11" s="49" t="n">
        <v>44</v>
      </c>
      <c r="G11" s="49" t="inlineStr">
        <is>
          <t>NaN</t>
        </is>
      </c>
      <c r="H11" s="49" t="inlineStr">
        <is>
          <t>Unknown</t>
        </is>
      </c>
      <c r="I11" s="49" t="inlineStr">
        <is>
          <t>Yes</t>
        </is>
      </c>
      <c r="J11" s="49" t="inlineStr">
        <is>
          <t>Unknown</t>
        </is>
      </c>
      <c r="K11" s="52" t="n">
        <v>60</v>
      </c>
      <c r="L11" s="49" t="inlineStr">
        <is>
          <t>New</t>
        </is>
      </c>
      <c r="M11" s="51" t="n">
        <v>46218</v>
      </c>
      <c r="N11" s="51" t="n">
        <v>46218</v>
      </c>
    </row>
    <row r="12">
      <c r="A12" s="49" t="inlineStr">
        <is>
          <t>Carroll Distributing Company</t>
        </is>
      </c>
      <c r="B12" s="49" t="inlineStr">
        <is>
          <t>Florida</t>
        </is>
      </c>
      <c r="C12" s="49" t="inlineStr">
        <is>
          <t>Beverage Distribution (Beer, Wine &amp; Spirits Wholesale)</t>
        </is>
      </c>
      <c r="D12" s="49" t="inlineStr">
        <is>
          <t>Private</t>
        </is>
      </c>
      <c r="E12" s="49" t="inlineStr">
        <is>
          <t>1960</t>
        </is>
      </c>
      <c r="F12" s="49" t="n">
        <v>66</v>
      </c>
      <c r="G12" s="49" t="inlineStr">
        <is>
          <t>Chad Carroll</t>
        </is>
      </c>
      <c r="H12" s="49" t="inlineStr">
        <is>
          <t>No</t>
        </is>
      </c>
      <c r="I12" s="49" t="inlineStr">
        <is>
          <t>Yes</t>
        </is>
      </c>
      <c r="J12" s="49" t="inlineStr">
        <is>
          <t>Unknown</t>
        </is>
      </c>
      <c r="K12" s="52" t="n">
        <v>60</v>
      </c>
      <c r="L12" s="49" t="inlineStr">
        <is>
          <t>New</t>
        </is>
      </c>
      <c r="M12" s="51" t="n">
        <v>46218</v>
      </c>
      <c r="N12" s="51" t="n">
        <v>46218</v>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0" customWidth="1" min="4" max="4"/>
    <col width="55" customWidth="1" min="5" max="5"/>
    <col width="55" customWidth="1" min="6" max="6"/>
    <col width="45" customWidth="1" min="7" max="7"/>
    <col width="14" customWidth="1" min="8" max="8"/>
    <col width="35" customWidth="1" min="9" max="9"/>
    <col hidden="1" min="10" max="10"/>
  </cols>
  <sheetData>
    <row r="1">
      <c r="A1" s="48" t="inlineStr">
        <is>
          <t>Rank</t>
        </is>
      </c>
      <c r="B1" s="48" t="inlineStr">
        <is>
          <t>Company Name</t>
        </is>
      </c>
      <c r="C1" s="48" t="inlineStr">
        <is>
          <t>Score</t>
        </is>
      </c>
      <c r="D1" s="48" t="inlineStr">
        <is>
          <t>State</t>
        </is>
      </c>
      <c r="E1" s="48" t="inlineStr">
        <is>
          <t>Why Selected</t>
        </is>
      </c>
      <c r="F1" s="48" t="inlineStr">
        <is>
          <t>Evidence Summary</t>
        </is>
      </c>
      <c r="G1" s="48" t="inlineStr">
        <is>
          <t>One-line Reason</t>
        </is>
      </c>
      <c r="H1" s="48" t="inlineStr">
        <is>
          <t>Feedback</t>
        </is>
      </c>
      <c r="I1" s="48" t="inlineStr">
        <is>
          <t>Notes</t>
        </is>
      </c>
      <c r="J1" s="48" t="inlineStr">
        <is>
          <t>_candidate_id</t>
        </is>
      </c>
    </row>
    <row r="2" ht="90" customHeight="1">
      <c r="A2" s="53" t="n">
        <v>1</v>
      </c>
      <c r="B2" s="54" t="inlineStr">
        <is>
          <t>Charles Clayton Construction</t>
        </is>
      </c>
      <c r="C2" s="55" t="n">
        <v>105</v>
      </c>
      <c r="D2" s="54" t="inlineStr">
        <is>
          <t>FL</t>
        </is>
      </c>
      <c r="E2" s="54" t="inlineStr">
        <is>
          <t>Charles Clayton Construction is a founder-led, family-owned custom homebuilder with 32 years in business, positioning it as a mature operation with an established reputation in Central Florida and coastal Volusia County. Founder Charlie Clayton III is approximately 65 years old as of 2026, suggesting potential succession or retirement considerations may be approaching. The company's high seller readiness score (105) further supports its candidacy as an acquisition target.</t>
        </is>
      </c>
      <c r="F2" s="54" t="inlineStr">
        <is>
          <t>BBB confirms the business was incorporated in 1994 with 32 years in business, led by Charles Clayton (President) and Lisa Clayton (VP), while a 2020 profile notes Clayton was 59 at the time and comes from a multi-generational family building tradition dating to the 1950s. The company operates from two Florida offices and builds custom homes ranging from $850,000 to $10 million.</t>
        </is>
      </c>
      <c r="G2" s="54" t="inlineStr">
        <is>
          <t>Founder-led Florida custom homebuilder, ~32 years in business, founder nearing retirement age.</t>
        </is>
      </c>
      <c r="H2" s="54" t="inlineStr">
        <is>
          <t>New</t>
        </is>
      </c>
      <c r="I2" s="54" t="inlineStr"/>
      <c r="J2" s="54" t="n">
        <v>3</v>
      </c>
    </row>
    <row r="3" ht="90" customHeight="1">
      <c r="A3" s="53" t="n">
        <v>2</v>
      </c>
      <c r="B3" s="54" t="inlineStr">
        <is>
          <t>Monterey Boats (Marine Industries of Florida)</t>
        </is>
      </c>
      <c r="C3" s="55" t="n">
        <v>100</v>
      </c>
      <c r="D3" s="54" t="inlineStr">
        <is>
          <t>FL</t>
        </is>
      </c>
      <c r="E3" s="54" t="inlineStr">
        <is>
          <t>Monterey Boats is a 41-year-old, founder-led and family-owned marine manufacturer with a top Seller Readiness Score of 100, suggesting strong succession or exit potential typical of long-tenured founder businesses. Its scale—over 600 employees, 500,000 sq ft of manufacturing space, and an estimated $83M in annual revenue—indicates a substantial, established operation attractive to acquirers. The founders' ages are unknown, but the company's longevity and continued founder involvement since 1985 suggest a potential generational transition point.</t>
        </is>
      </c>
      <c r="F3" s="54" t="inlineStr">
        <is>
          <t>Evidence shows Monterey Boats was founded in 1985 by brothers Charles and Jeff Marshall, who remain Co-Chairmen, and the company is described as one of the few marine manufacturers still family-owned and run by original founders; Kona Equity estimates $83M in annual revenue and 500 employees, with the company citing over 600 builders and 40,000+ boats produced generating $2.4B in sales.</t>
        </is>
      </c>
      <c r="G3" s="54" t="inlineStr">
        <is>
          <t>41-year-old founder-led, family-owned boat maker with $83M revenue and top seller-readiness score.</t>
        </is>
      </c>
      <c r="H3" s="54" t="inlineStr">
        <is>
          <t>New</t>
        </is>
      </c>
      <c r="I3" s="54" t="inlineStr"/>
      <c r="J3" s="54" t="n">
        <v>2</v>
      </c>
    </row>
    <row r="4" ht="90" customHeight="1">
      <c r="A4" s="53" t="n">
        <v>3</v>
      </c>
      <c r="B4" s="54" t="inlineStr">
        <is>
          <t>Prime Line</t>
        </is>
      </c>
      <c r="C4" s="55" t="n">
        <v>100</v>
      </c>
      <c r="D4" s="54" t="inlineStr">
        <is>
          <t>Florida</t>
        </is>
      </c>
      <c r="E4" s="54" t="inlineStr">
        <is>
          <t>Prime Line is a 45-year-old founder-led, family-owned specialty food import and distribution business with an estimated $45.1 million in annual revenue and ~122 employees across multiple U.S. divisions, indicating meaningful scale for a wholesale trade acquisition. Its perfect Seller Readiness Score of 100 and long operating history suggest a mature, stable business that may be positioned for a succession-driven sale, though founder age is unknown and cannot be used to confirm succession timing.</t>
        </is>
      </c>
      <c r="F4" s="54" t="inlineStr">
        <is>
          <t>Florida Sunbiz confirms Prime Line Distributors, Inc. as an active corporation since 1981 with Gianni Landi as President and family members Irene and Dennis Landi in key roles, and the company website confirms continued family leadership with a catalog of over 3,500 specialty food products; revenue and employee figures come from a third-party estimate (Buzzfile) and are not independently verified.</t>
        </is>
      </c>
      <c r="G4" s="54" t="inlineStr">
        <is>
          <t>45-year-old family-owned Florida specialty food distributor with $45M+ estimated revenue and top readiness score.</t>
        </is>
      </c>
      <c r="H4" s="54" t="inlineStr">
        <is>
          <t>New</t>
        </is>
      </c>
      <c r="I4" s="54" t="inlineStr"/>
      <c r="J4" s="54" t="n">
        <v>8</v>
      </c>
    </row>
    <row r="5" ht="90" customHeight="1">
      <c r="A5" s="53" t="n">
        <v>4</v>
      </c>
      <c r="B5" s="54" t="inlineStr">
        <is>
          <t>Metro Steel USA</t>
        </is>
      </c>
      <c r="C5" s="55" t="n">
        <v>75</v>
      </c>
      <c r="D5" s="54" t="inlineStr">
        <is>
          <t>Florida</t>
        </is>
      </c>
      <c r="E5" s="54" t="inlineStr">
        <is>
          <t>Metro Steel USA is a third-generation, family-owned metal fabrication and steel distribution business with 52 years of operating history and a high Seller Readiness Score (75), suggesting the owners may be open to a transition. Its established facility, industry certifications, and diversified OEM client base across aerospace, transportation, rail, agriculture, and construction sectors indicate a stable, credible operation that could be attractive for consolidation or strategic acquisition.</t>
        </is>
      </c>
      <c r="F5" s="54" t="inlineStr">
        <is>
          <t>The company grew from a 1974 founding with a 35,000 sq ft facility into a 200,000 sq ft processing and distribution center, holds AS 9100 D / ISO 9001:2015 certification and AISC certification, and serves multiple OEM sectors; employee counts vary by source (11-50 per LinkedIn, ~42-63 per other estimates), and founder-led status and founder age are not confirmed.</t>
        </is>
      </c>
      <c r="G5" s="54" t="inlineStr">
        <is>
          <t>52-year-old family-owned steel fabricator with strong certifications and a high readiness score.</t>
        </is>
      </c>
      <c r="H5" s="54" t="inlineStr">
        <is>
          <t>New</t>
        </is>
      </c>
      <c r="I5" s="54" t="inlineStr"/>
      <c r="J5" s="54" t="n">
        <v>11</v>
      </c>
    </row>
    <row r="6" ht="90" customHeight="1">
      <c r="A6" s="53" t="n">
        <v>5</v>
      </c>
      <c r="B6" s="54" t="inlineStr">
        <is>
          <t>Executive Printers of Florida</t>
        </is>
      </c>
      <c r="C6" s="56" t="n">
        <v>60</v>
      </c>
      <c r="D6" s="54" t="inlineStr">
        <is>
          <t>Florida</t>
        </is>
      </c>
      <c r="E6" s="54" t="inlineStr">
        <is>
          <t>Executive Printers of Florida is a 54-year-old family-owned commercial printing business now in its third generation of leadership, which can signal potential succession planning needs or openness to a transition event. The company has an established niche with sustainability certifications (FSC, SFI, PEFC) that may appeal to buyers seeking a credentialed, long-standing operator, and its Seller Readiness Score of 60 suggests moderate likelihood of a deal conversation.</t>
        </is>
      </c>
      <c r="F6" s="54" t="inlineStr">
        <is>
          <t>The company traces its roots to 1972 as 'Hobby Press,' founded by Stanley Gardner and his son David, and has since transitioned leadership across three generations (Ryan Gardner as current Owner/CEO, David Gardner as President, Carly Gardner as CFO/Partner), though financial data across aggregators is inconsistent (revenue estimates range from $4M to $28.3M and employee counts from 9 to 40), indicating unverified figures.</t>
        </is>
      </c>
      <c r="G6" s="54" t="inlineStr">
        <is>
          <t>Multi-generational family printing firm with succession signals, but financials remain unverified.</t>
        </is>
      </c>
      <c r="H6" s="54" t="inlineStr">
        <is>
          <t>New</t>
        </is>
      </c>
      <c r="I6" s="54" t="inlineStr"/>
      <c r="J6" s="54" t="n">
        <v>7</v>
      </c>
    </row>
    <row r="7" ht="90" customHeight="1">
      <c r="A7" s="53" t="n">
        <v>6</v>
      </c>
      <c r="B7" s="54" t="inlineStr">
        <is>
          <t>Great Bay Distributors</t>
        </is>
      </c>
      <c r="C7" s="56" t="n">
        <v>60</v>
      </c>
      <c r="D7" s="54" t="inlineStr">
        <is>
          <t>Florida</t>
        </is>
      </c>
      <c r="E7" s="54" t="inlineStr">
        <is>
          <t>Great Bay Distributors is a 58-year-old, third-generation family-owned business operating in a consolidating beverage distribution space, which often signals potential succession or ownership transition considerations. Its scale—over 800 brands, 3,500 licensed accounts, 350+ employees, and two distribution centers—suggests an established, mature operation that could be attractive to acquirers, though founder age and financial specifics remain unknown.</t>
        </is>
      </c>
      <c r="F7" s="54" t="inlineStr">
        <is>
          <t>The company is documented as Florida's largest independently family-owned Anheuser-Busch distributor, with a newly built 268,000-square-foot facility featuring the state's largest privately-owned rooftop solar system, indicating significant scale and infrastructure investment; however, revenue figures from third-party sources are wildly inconsistent and not corroborated by official disclosures.</t>
        </is>
      </c>
      <c r="G7" s="54" t="inlineStr">
        <is>
          <t>58-year-old family-owned Florida beverage distributor with major infrastructure and scale, revenue unclear.</t>
        </is>
      </c>
      <c r="H7" s="54" t="inlineStr">
        <is>
          <t>New</t>
        </is>
      </c>
      <c r="I7" s="54" t="inlineStr"/>
      <c r="J7" s="54" t="n">
        <v>13</v>
      </c>
    </row>
    <row r="8" ht="90" customHeight="1">
      <c r="A8" s="53" t="n">
        <v>7</v>
      </c>
      <c r="B8" s="54" t="inlineStr">
        <is>
          <t>Woodruff &amp; Sons</t>
        </is>
      </c>
      <c r="C8" s="56" t="n">
        <v>60</v>
      </c>
      <c r="D8" s="54" t="inlineStr">
        <is>
          <t>Florida</t>
        </is>
      </c>
      <c r="E8" s="54" t="inlineStr">
        <is>
          <t>Woodruff &amp; Sons is an 80-year-old, family-owned heavy civil and underground utility contractor with active Florida contractor licenses and a 51-200 employee footprint, indicating an established, operationally mature business. Founder-led status is 'No' and leadership has already transitioned to third-generation family members (Donald, Bruce, and Linda Woodruff), which can sometimes signal openness to succession planning or ownership transition. A Seller Readiness Score of 60 suggests moderate potential interest in a transaction, though this is not confirmed by direct statements in the evidence.</t>
        </is>
      </c>
      <c r="F8" s="54" t="inlineStr">
        <is>
          <t>Evidence confirms an 80-year operating history since 1946, multi-generational family leadership (Donald, Bruce, Linda Woodruff per Sunbiz filings), active Florida contractor licenses, and a 51-200 employee LinkedIn profile based in Bradenton, FL; no direct statements about sale intent or financials are provided.</t>
        </is>
      </c>
      <c r="G8" s="54" t="inlineStr">
        <is>
          <t>80-year family-owned Florida heavy civil contractor with active licenses and multi-gen leadership.</t>
        </is>
      </c>
      <c r="H8" s="54" t="inlineStr">
        <is>
          <t>New</t>
        </is>
      </c>
      <c r="I8" s="54" t="inlineStr"/>
      <c r="J8" s="54" t="n">
        <v>9</v>
      </c>
    </row>
    <row r="9" ht="90" customHeight="1">
      <c r="A9" s="53" t="n">
        <v>8</v>
      </c>
      <c r="B9" s="54" t="inlineStr">
        <is>
          <t>Trans-Phos</t>
        </is>
      </c>
      <c r="C9" s="56" t="n">
        <v>60</v>
      </c>
      <c r="D9" s="54" t="inlineStr">
        <is>
          <t>Florida</t>
        </is>
      </c>
      <c r="E9" s="54" t="inlineStr">
        <is>
          <t>Trans-Phos is a 53-year-old, family-owned bulk transportation company with an established niche hauling phosphate rock, aggregate, and construction materials across a 6-county Central Florida region. Its scale (150+ employees, 200-335 trucks, and estimated revenue between $25-100M) suggests operational maturity, and its multi-generational leadership structure (now in its second and third generation of Whitney family management) could indicate openness to succession planning or a liquidity event, reflected in its moderate Seller Readiness Score of 60.</t>
        </is>
      </c>
      <c r="F9" s="54" t="inlineStr">
        <is>
          <t>Founded in 1973 by Sam Whitney and now led by second/third-generation family members Bill and Neil Whitney, the company has grown to over 150 employees and 200-335 trucks serving Tampa Bay and surrounding counties; revenue estimates vary by source ($25-100M per Glassdoor, ~$28.7M per RocketReach).</t>
        </is>
      </c>
      <c r="G9" s="54" t="inlineStr">
        <is>
          <t>53-year-old family-owned Florida trucking firm with multi-gen leadership and moderate seller readiness.</t>
        </is>
      </c>
      <c r="H9" s="54" t="inlineStr">
        <is>
          <t>New</t>
        </is>
      </c>
      <c r="I9" s="54" t="inlineStr"/>
      <c r="J9" s="54" t="n">
        <v>10</v>
      </c>
    </row>
    <row r="10" ht="90" customHeight="1">
      <c r="A10" s="53" t="n">
        <v>9</v>
      </c>
      <c r="B10" s="54" t="inlineStr">
        <is>
          <t>Gandy Printers</t>
        </is>
      </c>
      <c r="C10" s="56" t="n">
        <v>60</v>
      </c>
      <c r="D10" s="54" t="inlineStr">
        <is>
          <t>Florida</t>
        </is>
      </c>
      <c r="E10" s="54" t="inlineStr">
        <is>
          <t>Gandy Printers is a 56-year-old family-owned commercial printing business in Tallahassee, Florida, now led by a third-generation successor (Bernard III Gandy) rather than the founder, which often signals a transition point conducive to acquisition discussions. Its long operating history, established regional reputation, and moderate Seller Readiness Score of 60 suggest a stable business that may be open to a sale or succession event.</t>
        </is>
      </c>
      <c r="F10" s="54" t="inlineStr">
        <is>
          <t>The company has served North Florida for over 50 years, holds a niche differentiator as the region's only G7 Certified print shop, and reports 100k+ completed projects for 13k+ clients, with leadership now in the hands of a founder's descendant rather than the original founder; note the LinkedIn 'Public Company' designation conflicts with all other sources and should be treated as unreliable.</t>
        </is>
      </c>
      <c r="G10" s="54" t="inlineStr">
        <is>
          <t>56-year-old family-owned Florida print shop, now led by next-gen successor, shows moderate sale readiness.</t>
        </is>
      </c>
      <c r="H10" s="54" t="inlineStr">
        <is>
          <t>New</t>
        </is>
      </c>
      <c r="I10" s="54" t="inlineStr"/>
      <c r="J10" s="54" t="n">
        <v>12</v>
      </c>
    </row>
    <row r="11" ht="90" customHeight="1">
      <c r="A11" s="53" t="n">
        <v>10</v>
      </c>
      <c r="B11" s="54" t="inlineStr">
        <is>
          <t>American Metal Products</t>
        </is>
      </c>
      <c r="C11" s="56" t="n">
        <v>60</v>
      </c>
      <c r="D11" s="54" t="inlineStr">
        <is>
          <t>Florida</t>
        </is>
      </c>
      <c r="E11" s="54" t="inlineStr">
        <is>
          <t>American Metal Products is a 44-year-old, family-owned fabricated metal products manufacturer in Florida, suggesting an established operational history and potential succession considerations typical of acquisition candidates. Multi-generational Headberg family involvement (Jeanell Pritchett as VP, Rob Headberg as Owner &amp; President) points to a closely held business structure, though founder identity and age are unconfirmed. A Seller Readiness Score of 60 indicates moderate potential openness to a transaction.</t>
        </is>
      </c>
      <c r="F11" s="54" t="inlineStr">
        <is>
          <t>The company website and BBB profile confirm continuous family operation since 1982 in Orlando, Florida, with Jeanell Pritchett and Rob Headberg identified as principals; however, employee count and revenue estimates vary widely across third-party sources (2-10 to 50 employees; $1-2.5M to $7.6M revenue) and are not confirmed officially.</t>
        </is>
      </c>
      <c r="G11" s="54" t="inlineStr">
        <is>
          <t>44-year-old family-owned Florida metal fabricator with multi-generational leadership; financials unconfirmed.</t>
        </is>
      </c>
      <c r="H11" s="54" t="inlineStr">
        <is>
          <t>New</t>
        </is>
      </c>
      <c r="I11" s="54" t="inlineStr"/>
      <c r="J11" s="54" t="n">
        <v>6</v>
      </c>
    </row>
  </sheetData>
  <dataValidations count="1">
    <dataValidation sqref="H2 H3 H4 H5 H6 H7 H8 H9 H10 H11" showDropDown="0" showInputMessage="0" showErrorMessage="0" allowBlank="1" type="list">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2026-07-15T16:29:15Z</dcterms:created>
  <dcterms:modified xmlns:dcterms="http://purl.org/dc/terms/" xmlns:xsi="http://www.w3.org/2001/XMLSchema-instance" xsi:type="dcterms:W3CDTF">2026-07-15T16:29:15Z</dcterms:modified>
</cp:coreProperties>
</file>