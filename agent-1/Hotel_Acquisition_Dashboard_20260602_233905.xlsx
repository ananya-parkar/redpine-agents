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ll Leads" sheetId="2" state="visible" r:id="rId2"/>
    <sheet xmlns:r="http://schemas.openxmlformats.org/officeDocument/2006/relationships" name="High Opportunity" sheetId="3" state="visible" r:id="rId3"/>
    <sheet xmlns:r="http://schemas.openxmlformats.org/officeDocument/2006/relationships" name="Ownership Analysis" sheetId="4" state="visible" r:id="rId4"/>
    <sheet xmlns:r="http://schemas.openxmlformats.org/officeDocument/2006/relationships" name="CMBS Watchlist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</sheets>
  <definedNames>
    <definedName name="_xlnm._FilterDatabase" localSheetId="1" hidden="1">'All Leads'!$A$1:$L$63</definedName>
    <definedName name="_xlnm._FilterDatabase" localSheetId="2" hidden="1">'High Opportunity'!$A$1:$F$16</definedName>
    <definedName name="_xlnm._FilterDatabase" localSheetId="3" hidden="1">'Ownership Analysis'!$A$1:$F$63</definedName>
    <definedName name="_xlnm._FilterDatabase" localSheetId="4" hidden="1">'CMBS Watchlist'!$A$1:$E$1</definedName>
    <definedName name="_xlnm._FilterDatabase" localSheetId="5" hidden="1">'Distress Signals'!$A$1:$E$63</definedName>
    <definedName name="_xlnm._FilterDatabase" localSheetId="6" hidden="1">'Lead Tracker'!$A$1:$E$63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5">
    <font>
      <name val="Calibri"/>
      <family val="2"/>
      <color theme="1"/>
      <sz val="11"/>
      <scheme val="minor"/>
    </font>
    <font>
      <b val="1"/>
      <color rgb="00FFFFFF"/>
      <sz val="20"/>
    </font>
    <font>
      <b val="1"/>
      <sz val="14"/>
    </font>
    <font>
      <b val="1"/>
      <color rgb="00FFFFFF"/>
    </font>
    <font>
      <b val="1"/>
    </font>
  </fonts>
  <fills count="9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4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2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2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2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3" fillId="8" borderId="0" applyAlignment="1" pivotButton="0" quotePrefix="0" xfId="0">
      <alignment horizontal="center"/>
    </xf>
    <xf numFmtId="0" fontId="3" fillId="8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/>
            </a:r>
          </a:p>
        </rich>
      </tx>
    </title>
    <plotArea>
      <doughnutChart>
        <varyColors val="1"/>
        <ser>
          <idx val="0"/>
          <order val="0"/>
          <tx>
            <strRef>
              <f>'Dashboard'!B35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'Dashboard'!$A$36:$A$39</f>
            </numRef>
          </cat>
          <val>
            <numRef>
              <f>'Dashboard'!$B$36:$B$39</f>
            </numRef>
          </val>
        </ser>
        <firstSliceAng val="0"/>
        <holeSize val="10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Distress Signals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'Dashboard'!U70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'Dashboard'!$T$71:$T$74</f>
            </numRef>
          </cat>
          <val>
            <numRef>
              <f>'Dashboard'!$U$71:$U$74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tx>
            <strRef>
              <f>'Dashboard'!S11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'Dashboard'!$R$12:$R$16</f>
            </numRef>
          </cat>
          <val>
            <numRef>
              <f>'Dashboard'!$S$12:$S$16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Franchise Breakdown</a:t>
            </a:r>
          </a:p>
        </rich>
      </tx>
    </title>
    <plotArea>
      <doughnutChart>
        <varyColors val="1"/>
        <ser>
          <idx val="0"/>
          <order val="0"/>
          <tx>
            <strRef>
              <f>'Dashboard'!U60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'Dashboard'!$T$61:$T$62</f>
            </numRef>
          </cat>
          <val>
            <numRef>
              <f>'Dashboard'!$U$61:$U$62</f>
            </numRef>
          </val>
        </ser>
        <firstSliceAng val="0"/>
        <holeSize val="10"/>
      </doughnutChart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plotArea>
      <doughnutChart>
        <varyColors val="1"/>
        <ser>
          <idx val="0"/>
          <order val="0"/>
          <tx>
            <strRef>
              <f>'Dashboard'!B50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'Dashboard'!$A$51:$A$53</f>
            </numRef>
          </cat>
          <val>
            <numRef>
              <f>'Dashboard'!$B$51:$B$53</f>
            </numRef>
          </val>
        </ser>
        <firstSliceAng val="0"/>
        <holeSize val="10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9</col>
      <colOff>0</colOff>
      <row>11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13</col>
      <colOff>0</colOff>
      <row>11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17</col>
      <colOff>0</colOff>
      <row>11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21</col>
      <colOff>0</colOff>
      <row>11</row>
      <rowOff>0</rowOff>
    </from>
    <ext cx="5400000" cy="27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34</row>
      <rowOff>0</rowOff>
    </from>
    <ext cx="5400000" cy="27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4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25" customWidth="1" min="4" max="4"/>
    <col width="15" customWidth="1" min="5" max="5"/>
    <col width="15" customWidth="1" min="6" max="6"/>
    <col width="30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8" customWidth="1" min="17" max="17"/>
    <col width="2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</cols>
  <sheetData>
    <row r="1">
      <c r="A1" s="1" t="inlineStr">
        <is>
          <t>HOTEL ACQUISITION LEADS DASHBOARD</t>
        </is>
      </c>
      <c r="Q1" s="2" t="inlineStr">
        <is>
          <t>Run Date</t>
        </is>
      </c>
      <c r="R1" t="inlineStr">
        <is>
          <t>2026-06-02 23:39</t>
        </is>
      </c>
    </row>
    <row r="2">
      <c r="A2" t="inlineStr">
        <is>
          <t>AI-Powered Distressed Hospitality Acquisition Intelligence</t>
        </is>
      </c>
      <c r="Q2" s="2" t="inlineStr">
        <is>
          <t>Total Leads</t>
        </is>
      </c>
      <c r="R2" t="n">
        <v>62</v>
      </c>
    </row>
    <row r="3">
      <c r="Q3" s="2" t="inlineStr">
        <is>
          <t>Generated By</t>
        </is>
      </c>
      <c r="R3" t="inlineStr">
        <is>
          <t>RedPine AI</t>
        </is>
      </c>
    </row>
    <row r="5">
      <c r="A5" s="3" t="inlineStr">
        <is>
          <t>Total Hotels
62</t>
        </is>
      </c>
      <c r="B5" s="4" t="n"/>
      <c r="C5" s="4" t="n"/>
      <c r="D5" s="4" t="n"/>
      <c r="F5" s="5" t="inlineStr">
        <is>
          <t>High Opportunity
15</t>
        </is>
      </c>
      <c r="G5" s="6" t="n"/>
      <c r="H5" s="6" t="n"/>
      <c r="I5" s="6" t="n"/>
      <c r="K5" s="7" t="inlineStr">
        <is>
          <t>Deep Distress
38</t>
        </is>
      </c>
      <c r="L5" s="8" t="n"/>
      <c r="M5" s="8" t="n"/>
      <c r="N5" s="8" t="n"/>
      <c r="P5" s="9" t="inlineStr">
        <is>
          <t>Long-Term Owners
5</t>
        </is>
      </c>
      <c r="Q5" s="10" t="n"/>
      <c r="R5" s="10" t="n"/>
      <c r="S5" s="10" t="n"/>
      <c r="U5" s="11" t="inlineStr">
        <is>
          <t>Avg Opportunity
60.8</t>
        </is>
      </c>
      <c r="V5" s="12" t="n"/>
      <c r="W5" s="12" t="n"/>
      <c r="X5" s="12" t="n"/>
    </row>
    <row r="6">
      <c r="A6" s="4" t="n"/>
      <c r="B6" s="4" t="n"/>
      <c r="C6" s="4" t="n"/>
      <c r="D6" s="4" t="n"/>
      <c r="F6" s="6" t="n"/>
      <c r="G6" s="6" t="n"/>
      <c r="H6" s="6" t="n"/>
      <c r="I6" s="6" t="n"/>
      <c r="K6" s="8" t="n"/>
      <c r="L6" s="8" t="n"/>
      <c r="M6" s="8" t="n"/>
      <c r="N6" s="8" t="n"/>
      <c r="P6" s="10" t="n"/>
      <c r="Q6" s="10" t="n"/>
      <c r="R6" s="10" t="n"/>
      <c r="S6" s="10" t="n"/>
      <c r="U6" s="12" t="n"/>
      <c r="V6" s="12" t="n"/>
      <c r="W6" s="12" t="n"/>
      <c r="X6" s="12" t="n"/>
    </row>
    <row r="7">
      <c r="A7" s="4" t="n"/>
      <c r="B7" s="4" t="n"/>
      <c r="C7" s="4" t="n"/>
      <c r="D7" s="4" t="n"/>
      <c r="F7" s="6" t="n"/>
      <c r="G7" s="6" t="n"/>
      <c r="H7" s="6" t="n"/>
      <c r="I7" s="6" t="n"/>
      <c r="K7" s="8" t="n"/>
      <c r="L7" s="8" t="n"/>
      <c r="M7" s="8" t="n"/>
      <c r="N7" s="8" t="n"/>
      <c r="P7" s="10" t="n"/>
      <c r="Q7" s="10" t="n"/>
      <c r="R7" s="10" t="n"/>
      <c r="S7" s="10" t="n"/>
      <c r="U7" s="12" t="n"/>
      <c r="V7" s="12" t="n"/>
      <c r="W7" s="12" t="n"/>
      <c r="X7" s="12" t="n"/>
    </row>
    <row r="8">
      <c r="A8" s="4" t="n"/>
      <c r="B8" s="4" t="n"/>
      <c r="C8" s="4" t="n"/>
      <c r="D8" s="4" t="n"/>
      <c r="F8" s="6" t="n"/>
      <c r="G8" s="6" t="n"/>
      <c r="H8" s="6" t="n"/>
      <c r="I8" s="6" t="n"/>
      <c r="K8" s="8" t="n"/>
      <c r="L8" s="8" t="n"/>
      <c r="M8" s="8" t="n"/>
      <c r="N8" s="8" t="n"/>
      <c r="P8" s="10" t="n"/>
      <c r="Q8" s="10" t="n"/>
      <c r="R8" s="10" t="n"/>
      <c r="S8" s="10" t="n"/>
      <c r="U8" s="12" t="n"/>
      <c r="V8" s="12" t="n"/>
      <c r="W8" s="12" t="n"/>
      <c r="X8" s="12" t="n"/>
    </row>
    <row r="11">
      <c r="R11" t="inlineStr">
        <is>
          <t>Market</t>
        </is>
      </c>
      <c r="S11" t="inlineStr">
        <is>
          <t>Score</t>
        </is>
      </c>
    </row>
    <row r="12">
      <c r="J12" t="inlineStr">
        <is>
          <t>OPPORTUNITY DISTRIBUTION</t>
        </is>
      </c>
      <c r="R12" t="inlineStr">
        <is>
          <t>Fort Lauderdale</t>
        </is>
      </c>
      <c r="S12" t="n">
        <v>65</v>
      </c>
    </row>
    <row r="13">
      <c r="R13" t="inlineStr">
        <is>
          <t>Kissimmee</t>
        </is>
      </c>
      <c r="S13" t="n">
        <v>65</v>
      </c>
    </row>
    <row r="14">
      <c r="R14" t="inlineStr">
        <is>
          <t>Miami Springs</t>
        </is>
      </c>
      <c r="S14" t="n">
        <v>64.25</v>
      </c>
    </row>
    <row r="15">
      <c r="R15" t="inlineStr">
        <is>
          <t>West Palm Beach</t>
        </is>
      </c>
      <c r="S15" t="n">
        <v>61.66666666666666</v>
      </c>
    </row>
    <row r="16">
      <c r="R16" t="inlineStr">
        <is>
          <t>Miami Beach</t>
        </is>
      </c>
      <c r="S16" t="n">
        <v>60.88461538461539</v>
      </c>
    </row>
    <row r="22">
      <c r="A22" s="13" t="inlineStr">
        <is>
          <t>TOP OPPORTUNITIES</t>
        </is>
      </c>
      <c r="J22" s="14" t="inlineStr">
        <is>
          <t>TOP OWNERSHIP TENURE</t>
        </is>
      </c>
    </row>
    <row r="23">
      <c r="A23" s="14" t="inlineStr">
        <is>
          <t>Hotel</t>
        </is>
      </c>
      <c r="B23" s="14" t="inlineStr">
        <is>
          <t>Lead Score</t>
        </is>
      </c>
      <c r="C23" s="14" t="inlineStr">
        <is>
          <t>AI Rating</t>
        </is>
      </c>
      <c r="D23" s="14" t="inlineStr">
        <is>
          <t>Owner</t>
        </is>
      </c>
      <c r="E23" s="14" t="inlineStr">
        <is>
          <t>Ownership Years</t>
        </is>
      </c>
      <c r="F23" s="14" t="inlineStr">
        <is>
          <t>Property Age</t>
        </is>
      </c>
      <c r="G23" s="14" t="inlineStr">
        <is>
          <t>Signals</t>
        </is>
      </c>
      <c r="H23" s="14" t="inlineStr">
        <is>
          <t>First Surfaced</t>
        </is>
      </c>
      <c r="I23" s="14" t="n"/>
      <c r="J23" s="14" t="inlineStr">
        <is>
          <t>Hotel</t>
        </is>
      </c>
      <c r="K23" s="14" t="inlineStr">
        <is>
          <t>Years</t>
        </is>
      </c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</row>
    <row r="24">
      <c r="A24" t="inlineStr">
        <is>
          <t>Casa Boutique Hotel</t>
        </is>
      </c>
      <c r="B24" t="n">
        <v>93.5</v>
      </c>
      <c r="C24" t="n">
        <v>3.5</v>
      </c>
      <c r="D24" t="inlineStr">
        <is>
          <t>WALDORF HOTEL LLC</t>
        </is>
      </c>
      <c r="E24" t="n">
        <v>11</v>
      </c>
      <c r="F24" t="n">
        <v>101</v>
      </c>
      <c r="G24" t="inlineStr">
        <is>
          <t>Long-Term Owner | Old Property</t>
        </is>
      </c>
      <c r="H24" t="inlineStr">
        <is>
          <t>2026-06-02</t>
        </is>
      </c>
      <c r="J24" t="inlineStr">
        <is>
          <t>The Kent Hotel</t>
        </is>
      </c>
      <c r="K24" t="n">
        <v>21</v>
      </c>
    </row>
    <row r="25">
      <c r="A25" t="inlineStr">
        <is>
          <t>The Miami Beach</t>
        </is>
      </c>
      <c r="B25" t="n">
        <v>93.5</v>
      </c>
      <c r="C25" t="n">
        <v>3.2</v>
      </c>
      <c r="D25" t="inlineStr">
        <is>
          <t>BENEDETTO 2019 INC</t>
        </is>
      </c>
      <c r="E25" t="n">
        <v>10</v>
      </c>
      <c r="F25" t="n">
        <v>101</v>
      </c>
      <c r="G25" t="inlineStr">
        <is>
          <t>Long-Term Owner | Old Property</t>
        </is>
      </c>
      <c r="H25" t="inlineStr">
        <is>
          <t>2026-06-02</t>
        </is>
      </c>
      <c r="J25" t="inlineStr">
        <is>
          <t>Viscay Hotel</t>
        </is>
      </c>
      <c r="K25" t="n">
        <v>17</v>
      </c>
    </row>
    <row r="26">
      <c r="A26" t="inlineStr">
        <is>
          <t>Best Western Plus Atlantic Beach Resort</t>
        </is>
      </c>
      <c r="B26" t="n">
        <v>89.5</v>
      </c>
      <c r="C26" t="n">
        <v>3</v>
      </c>
      <c r="D26" t="inlineStr"/>
      <c r="E26" t="n">
        <v/>
      </c>
      <c r="F26" t="n">
        <v/>
      </c>
      <c r="G26" t="inlineStr"/>
      <c r="H26" t="inlineStr">
        <is>
          <t>2026-06-02</t>
        </is>
      </c>
      <c r="J26" t="inlineStr">
        <is>
          <t>Miami International Apartments by Lowkl</t>
        </is>
      </c>
      <c r="K26" t="n">
        <v>13</v>
      </c>
    </row>
    <row r="27">
      <c r="A27" t="inlineStr">
        <is>
          <t>Four Points by Sheraton Orlando International Drive</t>
        </is>
      </c>
      <c r="B27" t="n">
        <v>83.5</v>
      </c>
      <c r="C27" t="n">
        <v>3.5</v>
      </c>
      <c r="D27" t="inlineStr"/>
      <c r="E27" t="n">
        <v/>
      </c>
      <c r="F27" t="n">
        <v/>
      </c>
      <c r="G27" t="inlineStr"/>
      <c r="H27" t="inlineStr">
        <is>
          <t>2026-06-02</t>
        </is>
      </c>
      <c r="J27" t="inlineStr">
        <is>
          <t>Casa Boutique Hotel</t>
        </is>
      </c>
      <c r="K27" t="n">
        <v>11</v>
      </c>
    </row>
    <row r="28">
      <c r="A28" t="inlineStr">
        <is>
          <t>Clarion Inn &amp; Suites Miami International Airport</t>
        </is>
      </c>
      <c r="B28" t="n">
        <v>80.5</v>
      </c>
      <c r="C28" t="n">
        <v>3.2</v>
      </c>
      <c r="D28" t="inlineStr"/>
      <c r="E28" t="n">
        <v/>
      </c>
      <c r="F28" t="n">
        <v/>
      </c>
      <c r="G28" t="inlineStr"/>
      <c r="H28" t="inlineStr">
        <is>
          <t>2026-06-02</t>
        </is>
      </c>
      <c r="J28" t="inlineStr">
        <is>
          <t>The Miami Beach</t>
        </is>
      </c>
      <c r="K28" t="n">
        <v>10</v>
      </c>
    </row>
    <row r="29">
      <c r="A29" t="inlineStr">
        <is>
          <t>Renzzi On The Beach</t>
        </is>
      </c>
      <c r="B29" t="n">
        <v>79.5</v>
      </c>
      <c r="C29" t="n">
        <v>2.5</v>
      </c>
      <c r="D29" t="inlineStr">
        <is>
          <t>942 PENNSYLVANIA OWNER LLC</t>
        </is>
      </c>
      <c r="E29" t="n">
        <v/>
      </c>
      <c r="F29" t="n">
        <v>101</v>
      </c>
      <c r="G29" t="inlineStr">
        <is>
          <t>Old Property</t>
        </is>
      </c>
      <c r="H29" t="inlineStr">
        <is>
          <t>2026-06-02</t>
        </is>
      </c>
    </row>
    <row r="30">
      <c r="A30" t="inlineStr">
        <is>
          <t>Kenmore Village Hotel</t>
        </is>
      </c>
      <c r="B30" t="n">
        <v>77.5</v>
      </c>
      <c r="C30" t="n">
        <v>3.2</v>
      </c>
      <c r="D30" t="inlineStr">
        <is>
          <t>WPH PROPERTIES LLC</t>
        </is>
      </c>
      <c r="E30" t="n">
        <v>5</v>
      </c>
      <c r="F30" t="n">
        <v>90</v>
      </c>
      <c r="G30" t="inlineStr">
        <is>
          <t>Old Property</t>
        </is>
      </c>
      <c r="H30" t="inlineStr">
        <is>
          <t>2026-06-02</t>
        </is>
      </c>
    </row>
    <row r="31">
      <c r="A31" t="inlineStr">
        <is>
          <t>Cadillac Hotel &amp; Beach Club, Autograph Collection</t>
        </is>
      </c>
      <c r="B31" t="n">
        <v>75.5</v>
      </c>
      <c r="C31" t="n">
        <v>3.2</v>
      </c>
      <c r="D31" t="inlineStr"/>
      <c r="E31" t="n">
        <v/>
      </c>
      <c r="F31" t="n">
        <v/>
      </c>
      <c r="G31" t="inlineStr"/>
      <c r="H31" t="inlineStr">
        <is>
          <t>2026-06-02</t>
        </is>
      </c>
    </row>
    <row r="32">
      <c r="A32" t="inlineStr">
        <is>
          <t>Days Inn by Wyndham Miami Airport North</t>
        </is>
      </c>
      <c r="B32" t="n">
        <v>74.5</v>
      </c>
      <c r="C32" t="n">
        <v>3.2</v>
      </c>
      <c r="D32" t="inlineStr"/>
      <c r="E32" t="n">
        <v/>
      </c>
      <c r="F32" t="n">
        <v/>
      </c>
      <c r="G32" t="inlineStr"/>
      <c r="H32" t="inlineStr">
        <is>
          <t>2026-06-02</t>
        </is>
      </c>
    </row>
    <row r="33">
      <c r="A33" t="inlineStr">
        <is>
          <t>Hilton Miami Airport Blue Lagoon</t>
        </is>
      </c>
      <c r="B33" t="n">
        <v>74.5</v>
      </c>
      <c r="C33" t="n">
        <v>2.8</v>
      </c>
      <c r="D33" t="inlineStr"/>
      <c r="E33" t="n">
        <v/>
      </c>
      <c r="F33" t="n">
        <v/>
      </c>
      <c r="G33" t="inlineStr"/>
      <c r="H33" t="inlineStr">
        <is>
          <t>2026-06-02</t>
        </is>
      </c>
    </row>
    <row r="35">
      <c r="A35" t="inlineStr">
        <is>
          <t>Category</t>
        </is>
      </c>
      <c r="B35" t="inlineStr">
        <is>
          <t>Count</t>
        </is>
      </c>
    </row>
    <row r="36">
      <c r="A36" t="inlineStr">
        <is>
          <t>80-100</t>
        </is>
      </c>
      <c r="B36" t="n">
        <v>5</v>
      </c>
    </row>
    <row r="37">
      <c r="A37" t="inlineStr">
        <is>
          <t>60-79</t>
        </is>
      </c>
      <c r="B37" t="n">
        <v>24</v>
      </c>
      <c r="J37" s="14" t="inlineStr">
        <is>
          <t>RECENT ACTIVITY</t>
        </is>
      </c>
      <c r="N37" t="inlineStr">
        <is>
          <t>RUN HISTORY</t>
        </is>
      </c>
    </row>
    <row r="38">
      <c r="A38" t="inlineStr">
        <is>
          <t>40-59</t>
        </is>
      </c>
      <c r="B38" t="n">
        <v>33</v>
      </c>
      <c r="J38" t="inlineStr">
        <is>
          <t>Top opportunities refreshed</t>
        </is>
      </c>
    </row>
    <row r="39">
      <c r="A39" t="inlineStr">
        <is>
          <t>0-39</t>
        </is>
      </c>
      <c r="B39" t="n">
        <v>0</v>
      </c>
      <c r="J39" t="inlineStr">
        <is>
          <t>Ownership analysis completed</t>
        </is>
      </c>
      <c r="N39" t="inlineStr">
        <is>
          <t>Run Date</t>
        </is>
      </c>
      <c r="O39" t="inlineStr">
        <is>
          <t>Leads</t>
        </is>
      </c>
      <c r="P39" t="inlineStr">
        <is>
          <t>Avg Score</t>
        </is>
      </c>
    </row>
    <row r="40">
      <c r="J40" t="inlineStr">
        <is>
          <t>Lead scores recalculated</t>
        </is>
      </c>
      <c r="N40" t="inlineStr">
        <is>
          <t>2026-06-02</t>
        </is>
      </c>
      <c r="O40" t="n">
        <v>62</v>
      </c>
      <c r="P40" t="n">
        <v>60.8</v>
      </c>
    </row>
    <row r="41">
      <c r="J41" t="inlineStr">
        <is>
          <t>Dashboard generated</t>
        </is>
      </c>
    </row>
    <row r="50">
      <c r="A50" t="inlineStr">
        <is>
          <t>Status</t>
        </is>
      </c>
      <c r="B50" t="inlineStr">
        <is>
          <t>Count</t>
        </is>
      </c>
    </row>
    <row r="51">
      <c r="A51" t="inlineStr">
        <is>
          <t>New</t>
        </is>
      </c>
      <c r="B51" t="n">
        <v>15</v>
      </c>
    </row>
    <row r="52">
      <c r="A52" t="inlineStr">
        <is>
          <t>Monitoring</t>
        </is>
      </c>
      <c r="B52" t="n">
        <v>29</v>
      </c>
    </row>
    <row r="53">
      <c r="A53" t="inlineStr">
        <is>
          <t>Passed</t>
        </is>
      </c>
      <c r="B53" t="n">
        <v>18</v>
      </c>
    </row>
    <row r="60">
      <c r="T60" t="inlineStr">
        <is>
          <t>Type</t>
        </is>
      </c>
      <c r="U60" t="inlineStr">
        <is>
          <t>Count</t>
        </is>
      </c>
    </row>
    <row r="61">
      <c r="T61" t="inlineStr">
        <is>
          <t>Franchise</t>
        </is>
      </c>
      <c r="U61" t="n">
        <v>21</v>
      </c>
    </row>
    <row r="62">
      <c r="T62" t="inlineStr">
        <is>
          <t>Independent</t>
        </is>
      </c>
      <c r="U62" t="n">
        <v>41</v>
      </c>
    </row>
    <row r="70">
      <c r="T70" t="inlineStr">
        <is>
          <t>Signal</t>
        </is>
      </c>
      <c r="U70" t="inlineStr">
        <is>
          <t>Count</t>
        </is>
      </c>
    </row>
    <row r="71">
      <c r="T71" t="inlineStr">
        <is>
          <t>Long-Term Owner</t>
        </is>
      </c>
      <c r="U71" t="n">
        <v>5</v>
      </c>
    </row>
    <row r="72">
      <c r="T72" t="inlineStr">
        <is>
          <t>Old Property</t>
        </is>
      </c>
      <c r="U72" t="n">
        <v>9</v>
      </c>
    </row>
    <row r="73">
      <c r="T73" t="inlineStr">
        <is>
          <t>Franchise</t>
        </is>
      </c>
      <c r="U73" t="n">
        <v>21</v>
      </c>
    </row>
    <row r="74">
      <c r="T74" t="inlineStr">
        <is>
          <t>High Distress</t>
        </is>
      </c>
      <c r="U74" t="n">
        <v>38</v>
      </c>
    </row>
  </sheetData>
  <mergeCells count="10">
    <mergeCell ref="F5:I8"/>
    <mergeCell ref="U5:X8"/>
    <mergeCell ref="J22:M22"/>
    <mergeCell ref="K5:N8"/>
    <mergeCell ref="N37:Q37"/>
    <mergeCell ref="A2:N2"/>
    <mergeCell ref="A5:D8"/>
    <mergeCell ref="P5:S8"/>
    <mergeCell ref="A22:H22"/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05" customWidth="1" min="2" max="2"/>
    <col width="19" customWidth="1" min="3" max="3"/>
    <col width="20" customWidth="1" min="4" max="4"/>
    <col width="18" customWidth="1" min="5" max="5"/>
    <col width="23" customWidth="1" min="6" max="6"/>
    <col width="45" customWidth="1" min="7" max="7"/>
    <col width="25" customWidth="1" min="8" max="8"/>
    <col width="15" customWidth="1" min="9" max="9"/>
    <col width="16" customWidth="1" min="10" max="10"/>
    <col width="33" customWidth="1" min="11" max="11"/>
    <col width="29" customWidth="1" min="12" max="12"/>
  </cols>
  <sheetData>
    <row r="1">
      <c r="A1" t="inlineStr">
        <is>
          <t>hotel_name</t>
        </is>
      </c>
      <c r="B1" t="inlineStr">
        <is>
          <t>address</t>
        </is>
      </c>
      <c r="C1" t="inlineStr">
        <is>
          <t>final_lead_score</t>
        </is>
      </c>
      <c r="D1" t="inlineStr">
        <is>
          <t>opportunity_score</t>
        </is>
      </c>
      <c r="E1" t="inlineStr">
        <is>
          <t>llm_star_rating</t>
        </is>
      </c>
      <c r="F1" t="inlineStr">
        <is>
          <t>distress_probability</t>
        </is>
      </c>
      <c r="G1" t="inlineStr">
        <is>
          <t>owner_name</t>
        </is>
      </c>
      <c r="H1" t="inlineStr">
        <is>
          <t>ownership_length_years</t>
        </is>
      </c>
      <c r="I1" t="inlineStr">
        <is>
          <t>property_age</t>
        </is>
      </c>
      <c r="J1" t="inlineStr">
        <is>
          <t>current_brand</t>
        </is>
      </c>
      <c r="K1" t="inlineStr">
        <is>
          <t>signals_fired</t>
        </is>
      </c>
      <c r="L1" t="inlineStr">
        <is>
          <t>created_at</t>
        </is>
      </c>
    </row>
    <row r="2">
      <c r="A2" t="inlineStr">
        <is>
          <t>Casa Boutique Hotel</t>
        </is>
      </c>
      <c r="B2" t="inlineStr">
        <is>
          <t>1334 Washington Ave, Miami Beach, FL 33139, USA</t>
        </is>
      </c>
      <c r="C2" t="n">
        <v>93.5</v>
      </c>
      <c r="D2" t="n">
        <v>65</v>
      </c>
      <c r="E2" t="n">
        <v>3.5</v>
      </c>
      <c r="F2" t="n">
        <v>0.75</v>
      </c>
      <c r="G2" t="inlineStr">
        <is>
          <t>WALDORF HOTEL LLC</t>
        </is>
      </c>
      <c r="H2" t="n">
        <v>11</v>
      </c>
      <c r="I2" t="n">
        <v>101</v>
      </c>
      <c r="J2" t="inlineStr"/>
      <c r="K2" t="inlineStr">
        <is>
          <t>Long-Term Owner | Old Property</t>
        </is>
      </c>
      <c r="L2" s="15" t="n">
        <v>46175.44024082858</v>
      </c>
    </row>
    <row r="3">
      <c r="A3" t="inlineStr">
        <is>
          <t>The Miami Beach</t>
        </is>
      </c>
      <c r="B3" t="inlineStr">
        <is>
          <t>1018 Meridian Ave, Miami Beach, FL 33139, USA</t>
        </is>
      </c>
      <c r="C3" t="n">
        <v>93.5</v>
      </c>
      <c r="D3" t="n">
        <v>65</v>
      </c>
      <c r="E3" t="n">
        <v>3.2</v>
      </c>
      <c r="F3" t="n">
        <v>0.75</v>
      </c>
      <c r="G3" t="inlineStr">
        <is>
          <t>BENEDETTO 2019 INC</t>
        </is>
      </c>
      <c r="H3" t="n">
        <v>10</v>
      </c>
      <c r="I3" t="n">
        <v>101</v>
      </c>
      <c r="J3" t="inlineStr"/>
      <c r="K3" t="inlineStr">
        <is>
          <t>Long-Term Owner | Old Property</t>
        </is>
      </c>
      <c r="L3" s="15" t="n">
        <v>46175.44024082858</v>
      </c>
    </row>
    <row r="4">
      <c r="A4" t="inlineStr">
        <is>
          <t>Best Western Plus Atlantic Beach Resort</t>
        </is>
      </c>
      <c r="B4" t="inlineStr">
        <is>
          <t>4101 Collins Ave, Miami Beach, FL 33140, USA</t>
        </is>
      </c>
      <c r="C4" t="n">
        <v>89.5</v>
      </c>
      <c r="D4" t="n">
        <v>55</v>
      </c>
      <c r="E4" t="n">
        <v>3</v>
      </c>
      <c r="F4" t="n">
        <v>0.75</v>
      </c>
      <c r="G4" t="inlineStr"/>
      <c r="H4" t="n">
        <v/>
      </c>
      <c r="I4" t="n">
        <v/>
      </c>
      <c r="J4" t="inlineStr">
        <is>
          <t>Best Western</t>
        </is>
      </c>
      <c r="K4" t="inlineStr"/>
      <c r="L4" s="15" t="n">
        <v>46175.614338486</v>
      </c>
    </row>
    <row r="5">
      <c r="A5" t="inlineStr">
        <is>
          <t>Four Points by Sheraton Orlando International Drive</t>
        </is>
      </c>
      <c r="B5" t="inlineStr">
        <is>
          <t>5905 International Dr, Orlando, FL 32819, USA</t>
        </is>
      </c>
      <c r="C5" t="n">
        <v>83.5</v>
      </c>
      <c r="D5" t="n">
        <v>65</v>
      </c>
      <c r="E5" t="n">
        <v>3.5</v>
      </c>
      <c r="F5" t="n">
        <v>0.75</v>
      </c>
      <c r="G5" t="inlineStr"/>
      <c r="H5" t="n">
        <v/>
      </c>
      <c r="I5" t="n">
        <v/>
      </c>
      <c r="J5" t="inlineStr">
        <is>
          <t>Marriott</t>
        </is>
      </c>
      <c r="K5" t="inlineStr"/>
      <c r="L5" s="15" t="n">
        <v>46175.614338486</v>
      </c>
    </row>
    <row r="6">
      <c r="A6" t="inlineStr">
        <is>
          <t>Clarion Inn &amp; Suites Miami International Airport</t>
        </is>
      </c>
      <c r="B6" t="inlineStr">
        <is>
          <t>5301 NW 36th St, Miami Springs, FL 33166, USA</t>
        </is>
      </c>
      <c r="C6" t="n">
        <v>80.5</v>
      </c>
      <c r="D6" t="n">
        <v>65</v>
      </c>
      <c r="E6" t="n">
        <v>3.2</v>
      </c>
      <c r="F6" t="n">
        <v>0.75</v>
      </c>
      <c r="G6" t="inlineStr"/>
      <c r="H6" t="n">
        <v/>
      </c>
      <c r="I6" t="n">
        <v/>
      </c>
      <c r="J6" t="inlineStr">
        <is>
          <t>Choice</t>
        </is>
      </c>
      <c r="K6" t="inlineStr"/>
      <c r="L6" s="15" t="n">
        <v>46175.614338486</v>
      </c>
    </row>
    <row r="7">
      <c r="A7" t="inlineStr">
        <is>
          <t>Renzzi On The Beach</t>
        </is>
      </c>
      <c r="B7" t="inlineStr">
        <is>
          <t>942 Pennsylvania Ave, Miami Beach, FL 33139, USA</t>
        </is>
      </c>
      <c r="C7" t="n">
        <v>79.5</v>
      </c>
      <c r="D7" t="n">
        <v>55</v>
      </c>
      <c r="E7" t="n">
        <v>2.5</v>
      </c>
      <c r="F7" t="n">
        <v>0.85</v>
      </c>
      <c r="G7" t="inlineStr">
        <is>
          <t>942 PENNSYLVANIA OWNER LLC</t>
        </is>
      </c>
      <c r="H7" t="n">
        <v/>
      </c>
      <c r="I7" t="n">
        <v>101</v>
      </c>
      <c r="J7" t="inlineStr"/>
      <c r="K7" t="inlineStr">
        <is>
          <t>Old Property</t>
        </is>
      </c>
      <c r="L7" s="15" t="n">
        <v>46175.44024082858</v>
      </c>
    </row>
    <row r="8">
      <c r="A8" t="inlineStr">
        <is>
          <t>Kenmore Village Hotel</t>
        </is>
      </c>
      <c r="B8" t="inlineStr">
        <is>
          <t>1050 Washington Ave, Miami Beach, FL 33139, USA</t>
        </is>
      </c>
      <c r="C8" t="n">
        <v>77.5</v>
      </c>
      <c r="D8" t="n">
        <v>65</v>
      </c>
      <c r="E8" t="n">
        <v>3.2</v>
      </c>
      <c r="F8" t="n">
        <v>0.75</v>
      </c>
      <c r="G8" t="inlineStr">
        <is>
          <t>WPH PROPERTIES LLC</t>
        </is>
      </c>
      <c r="H8" t="n">
        <v>5</v>
      </c>
      <c r="I8" t="n">
        <v>90</v>
      </c>
      <c r="J8" t="inlineStr"/>
      <c r="K8" t="inlineStr">
        <is>
          <t>Old Property</t>
        </is>
      </c>
      <c r="L8" s="15" t="n">
        <v>46175.44024082858</v>
      </c>
    </row>
    <row r="9">
      <c r="A9" t="inlineStr">
        <is>
          <t>Cadillac Hotel &amp; Beach Club, Autograph Collection</t>
        </is>
      </c>
      <c r="B9" t="inlineStr">
        <is>
          <t>3925 Collins Ave, Miami Beach, FL 33140, USA</t>
        </is>
      </c>
      <c r="C9" t="n">
        <v>75.5</v>
      </c>
      <c r="D9" t="n">
        <v>65</v>
      </c>
      <c r="E9" t="n">
        <v>3.2</v>
      </c>
      <c r="F9" t="n">
        <v>0.75</v>
      </c>
      <c r="G9" t="inlineStr"/>
      <c r="H9" t="n">
        <v/>
      </c>
      <c r="I9" t="n">
        <v/>
      </c>
      <c r="J9" t="inlineStr"/>
      <c r="K9" t="inlineStr"/>
      <c r="L9" s="15" t="n">
        <v>46175.614338486</v>
      </c>
    </row>
    <row r="10">
      <c r="A10" t="inlineStr">
        <is>
          <t>Days Inn by Wyndham Miami Airport North</t>
        </is>
      </c>
      <c r="B10" t="inlineStr">
        <is>
          <t>4767 NW 36th St, Miami, FL 33166, USA</t>
        </is>
      </c>
      <c r="C10" t="n">
        <v>74.5</v>
      </c>
      <c r="D10" t="n">
        <v>65</v>
      </c>
      <c r="E10" t="n">
        <v>3.2</v>
      </c>
      <c r="F10" t="n">
        <v>0.85</v>
      </c>
      <c r="G10" t="inlineStr"/>
      <c r="H10" t="n">
        <v/>
      </c>
      <c r="I10" t="n">
        <v/>
      </c>
      <c r="J10" t="inlineStr">
        <is>
          <t>Wyndham</t>
        </is>
      </c>
      <c r="K10" t="inlineStr"/>
      <c r="L10" s="15" t="n">
        <v>46175.614338486</v>
      </c>
    </row>
    <row r="11">
      <c r="A11" t="inlineStr">
        <is>
          <t>Hilton Miami Airport Blue Lagoon</t>
        </is>
      </c>
      <c r="B11" t="inlineStr">
        <is>
          <t>5101 Waterford District Dr, Miami, FL 33126, USA</t>
        </is>
      </c>
      <c r="C11" t="n">
        <v>74.5</v>
      </c>
      <c r="D11" t="n">
        <v>55</v>
      </c>
      <c r="E11" t="n">
        <v>2.8</v>
      </c>
      <c r="F11" t="n">
        <v>0.65</v>
      </c>
      <c r="G11" t="inlineStr"/>
      <c r="H11" t="n">
        <v/>
      </c>
      <c r="I11" t="n">
        <v/>
      </c>
      <c r="J11" t="inlineStr">
        <is>
          <t>Hilton</t>
        </is>
      </c>
      <c r="K11" t="inlineStr"/>
      <c r="L11" s="15" t="n">
        <v>46175.614338486</v>
      </c>
    </row>
    <row r="12">
      <c r="A12" t="inlineStr">
        <is>
          <t>Ramada by Wyndham Miami Springs/Miami International Airport</t>
        </is>
      </c>
      <c r="B12" t="inlineStr">
        <is>
          <t>5001 NW 36th St, Miami Springs, FL 33166, USA</t>
        </is>
      </c>
      <c r="C12" t="n">
        <v>74.5</v>
      </c>
      <c r="D12" t="n">
        <v>65</v>
      </c>
      <c r="E12" t="n">
        <v>3.2</v>
      </c>
      <c r="F12" t="n">
        <v>0.75</v>
      </c>
      <c r="G12" t="inlineStr"/>
      <c r="H12" t="n">
        <v/>
      </c>
      <c r="I12" t="n">
        <v/>
      </c>
      <c r="J12" t="inlineStr">
        <is>
          <t>Wyndham</t>
        </is>
      </c>
      <c r="K12" t="inlineStr"/>
      <c r="L12" s="15" t="n">
        <v>46175.614338486</v>
      </c>
    </row>
    <row r="13">
      <c r="A13" t="inlineStr">
        <is>
          <t>Secret Garden Miami Beach</t>
        </is>
      </c>
      <c r="B13" t="inlineStr">
        <is>
          <t>4210 Collins Ave, Miami Beach, FL 33140, USA</t>
        </is>
      </c>
      <c r="C13" t="n">
        <v>72.5</v>
      </c>
      <c r="D13" t="n">
        <v>55</v>
      </c>
      <c r="E13" t="n">
        <v>2.8</v>
      </c>
      <c r="F13" t="n">
        <v>0.75</v>
      </c>
      <c r="G13" t="inlineStr"/>
      <c r="H13" t="n">
        <v/>
      </c>
      <c r="I13" t="n">
        <v/>
      </c>
      <c r="J13" t="inlineStr"/>
      <c r="K13" t="inlineStr"/>
      <c r="L13" s="15" t="n">
        <v>46175.614338486</v>
      </c>
    </row>
    <row r="14">
      <c r="A14" t="inlineStr">
        <is>
          <t>Trésor Tower</t>
        </is>
      </c>
      <c r="B14" t="inlineStr">
        <is>
          <t>4401 Collins Ave, Miami Beach, FL 33140, USA</t>
        </is>
      </c>
      <c r="C14" t="n">
        <v>72.5</v>
      </c>
      <c r="D14" t="n">
        <v>65</v>
      </c>
      <c r="E14" t="n">
        <v>3.5</v>
      </c>
      <c r="F14" t="n">
        <v>0.75</v>
      </c>
      <c r="G14" t="inlineStr"/>
      <c r="H14" t="n">
        <v/>
      </c>
      <c r="I14" t="n">
        <v/>
      </c>
      <c r="J14" t="inlineStr"/>
      <c r="K14" t="inlineStr"/>
      <c r="L14" s="15" t="n">
        <v>46175.614338486</v>
      </c>
    </row>
    <row r="15">
      <c r="A15" t="inlineStr">
        <is>
          <t>Hyatt Centric South Beach Miami</t>
        </is>
      </c>
      <c r="B15" t="inlineStr">
        <is>
          <t>1600 Collins Ave, Miami Beach, FL 33139, USA</t>
        </is>
      </c>
      <c r="C15" t="n">
        <v>71.5</v>
      </c>
      <c r="D15" t="n">
        <v>65</v>
      </c>
      <c r="E15" t="n">
        <v>3.5</v>
      </c>
      <c r="F15" t="n">
        <v>0.75</v>
      </c>
      <c r="G15" t="inlineStr"/>
      <c r="H15" t="n">
        <v/>
      </c>
      <c r="I15" t="n">
        <v/>
      </c>
      <c r="J15" t="inlineStr">
        <is>
          <t>Hyatt</t>
        </is>
      </c>
      <c r="K15" t="inlineStr"/>
      <c r="L15" s="15" t="n">
        <v>46175.614338486</v>
      </c>
    </row>
    <row r="16">
      <c r="A16" t="inlineStr">
        <is>
          <t>Roami at The Carmela</t>
        </is>
      </c>
      <c r="B16" t="inlineStr">
        <is>
          <t>4025 Indian Creek Dr, Miami Beach, FL 33140, USA</t>
        </is>
      </c>
      <c r="C16" t="n">
        <v>70.40000000000001</v>
      </c>
      <c r="D16" t="n">
        <v>78</v>
      </c>
      <c r="E16" t="n">
        <v>3.5</v>
      </c>
      <c r="F16" t="n">
        <v>0.95</v>
      </c>
      <c r="G16" t="inlineStr"/>
      <c r="H16" t="n">
        <v/>
      </c>
      <c r="I16" t="n">
        <v/>
      </c>
      <c r="J16" t="inlineStr"/>
      <c r="K16" t="inlineStr"/>
      <c r="L16" s="15" t="n">
        <v>46175.614338486</v>
      </c>
    </row>
    <row r="17">
      <c r="A17" t="inlineStr">
        <is>
          <t>Miami International Airport Hotel</t>
        </is>
      </c>
      <c r="B17" t="inlineStr">
        <is>
          <t>Le Jeune Rd, Concourse E 2nd Floor Miami International Airport Hotel, NW 20th St, Miami, FL 33122, USA</t>
        </is>
      </c>
      <c r="C17" t="n">
        <v>69.5</v>
      </c>
      <c r="D17" t="n">
        <v>65</v>
      </c>
      <c r="E17" t="n">
        <v>3.5</v>
      </c>
      <c r="F17" t="n">
        <v>0.85</v>
      </c>
      <c r="G17" t="inlineStr"/>
      <c r="H17" t="n">
        <v/>
      </c>
      <c r="I17" t="n">
        <v/>
      </c>
      <c r="J17" t="inlineStr"/>
      <c r="K17" t="inlineStr"/>
      <c r="L17" s="15" t="n">
        <v>46175.614338486</v>
      </c>
    </row>
    <row r="18">
      <c r="A18" t="inlineStr">
        <is>
          <t>Casa Marina Key West, Curio Collection by Hilton</t>
        </is>
      </c>
      <c r="B18" t="inlineStr">
        <is>
          <t>1500 Reynolds St, Key West, FL 33040, USA</t>
        </is>
      </c>
      <c r="C18" t="n">
        <v>68.5</v>
      </c>
      <c r="D18" t="n">
        <v>65</v>
      </c>
      <c r="E18" t="n">
        <v>3.5</v>
      </c>
      <c r="F18" t="n">
        <v>0.75</v>
      </c>
      <c r="G18" t="inlineStr"/>
      <c r="H18" t="n">
        <v/>
      </c>
      <c r="I18" t="n">
        <v/>
      </c>
      <c r="J18" t="inlineStr">
        <is>
          <t>Hilton</t>
        </is>
      </c>
      <c r="K18" t="inlineStr"/>
      <c r="L18" s="15" t="n">
        <v>46175.614338486</v>
      </c>
    </row>
    <row r="19">
      <c r="A19" t="inlineStr">
        <is>
          <t>Notebook Hotel</t>
        </is>
      </c>
      <c r="B19" t="inlineStr">
        <is>
          <t>216 W 43rd St, Miami Beach, FL 33140, USA</t>
        </is>
      </c>
      <c r="C19" t="n">
        <v>68.5</v>
      </c>
      <c r="D19" t="n">
        <v>55</v>
      </c>
      <c r="E19" t="n">
        <v>2.5</v>
      </c>
      <c r="F19" t="n">
        <v>0.85</v>
      </c>
      <c r="G19" t="inlineStr"/>
      <c r="H19" t="n">
        <v/>
      </c>
      <c r="I19" t="n">
        <v/>
      </c>
      <c r="J19" t="inlineStr"/>
      <c r="K19" t="inlineStr"/>
      <c r="L19" s="15" t="n">
        <v>46175.614338486</v>
      </c>
    </row>
    <row r="20">
      <c r="A20" t="inlineStr">
        <is>
          <t>Sleep Inn Miami Airport</t>
        </is>
      </c>
      <c r="B20" t="inlineStr">
        <is>
          <t>105 Fairway Dr, Miami Springs, FL 33166, USA</t>
        </is>
      </c>
      <c r="C20" t="n">
        <v>68.5</v>
      </c>
      <c r="D20" t="n">
        <v>65</v>
      </c>
      <c r="E20" t="n">
        <v>3.5</v>
      </c>
      <c r="F20" t="n">
        <v>0.75</v>
      </c>
      <c r="G20" t="inlineStr"/>
      <c r="H20" t="n">
        <v/>
      </c>
      <c r="I20" t="n">
        <v/>
      </c>
      <c r="J20" t="inlineStr">
        <is>
          <t>Choice</t>
        </is>
      </c>
      <c r="K20" t="inlineStr"/>
      <c r="L20" s="15" t="n">
        <v>46175.614338486</v>
      </c>
    </row>
    <row r="21">
      <c r="A21" t="inlineStr">
        <is>
          <t>West Palm Beach Marriott</t>
        </is>
      </c>
      <c r="B21" t="inlineStr">
        <is>
          <t>1001 Okeechobee Blvd, West Palm Beach, FL 33401, USA</t>
        </is>
      </c>
      <c r="C21" t="n">
        <v>68.5</v>
      </c>
      <c r="D21" t="n">
        <v>65</v>
      </c>
      <c r="E21" t="n">
        <v>3.5</v>
      </c>
      <c r="F21" t="n">
        <v>0.75</v>
      </c>
      <c r="G21" t="inlineStr"/>
      <c r="H21" t="n">
        <v/>
      </c>
      <c r="I21" t="n">
        <v/>
      </c>
      <c r="J21" t="inlineStr">
        <is>
          <t>Marriott</t>
        </is>
      </c>
      <c r="K21" t="inlineStr"/>
      <c r="L21" s="15" t="n">
        <v>46175.614338486</v>
      </c>
    </row>
    <row r="22">
      <c r="A22" t="inlineStr">
        <is>
          <t>James Hotel</t>
        </is>
      </c>
      <c r="B22" t="inlineStr">
        <is>
          <t>1680 James Ave, Miami Beach, FL 33139, USA</t>
        </is>
      </c>
      <c r="C22" t="n">
        <v>66.5</v>
      </c>
      <c r="D22" t="n">
        <v>55</v>
      </c>
      <c r="E22" t="n">
        <v>2.5</v>
      </c>
      <c r="F22" t="n">
        <v>0.85</v>
      </c>
      <c r="G22" t="inlineStr"/>
      <c r="H22" t="n">
        <v/>
      </c>
      <c r="I22" t="n">
        <v/>
      </c>
      <c r="J22" t="inlineStr"/>
      <c r="K22" t="inlineStr"/>
      <c r="L22" s="15" t="n">
        <v>46175.614338486</v>
      </c>
    </row>
    <row r="23">
      <c r="A23" t="inlineStr">
        <is>
          <t>lowes hotel</t>
        </is>
      </c>
      <c r="B23" t="inlineStr">
        <is>
          <t>Miami Beach, FL 33139, USA</t>
        </is>
      </c>
      <c r="C23" t="n">
        <v>63.5</v>
      </c>
      <c r="D23" t="n">
        <v>65</v>
      </c>
      <c r="E23" t="n">
        <v>3.2</v>
      </c>
      <c r="F23" t="n">
        <v>0.85</v>
      </c>
      <c r="G23" t="inlineStr"/>
      <c r="H23" t="n">
        <v/>
      </c>
      <c r="I23" t="n">
        <v/>
      </c>
      <c r="J23" t="inlineStr"/>
      <c r="K23" t="inlineStr"/>
      <c r="L23" s="15" t="n">
        <v>46175.614338486</v>
      </c>
    </row>
    <row r="24">
      <c r="A24" t="inlineStr">
        <is>
          <t>La Mare Hotel and Residence</t>
        </is>
      </c>
      <c r="B24" t="inlineStr">
        <is>
          <t>1451 S Miami Ave, Miami, FL 33130, USA</t>
        </is>
      </c>
      <c r="C24" t="n">
        <v>63.5</v>
      </c>
      <c r="D24" t="n">
        <v>65</v>
      </c>
      <c r="E24" t="n">
        <v>3.2</v>
      </c>
      <c r="F24" t="n">
        <v>0.75</v>
      </c>
      <c r="G24" t="inlineStr"/>
      <c r="H24" t="n">
        <v/>
      </c>
      <c r="I24" t="n">
        <v/>
      </c>
      <c r="J24" t="inlineStr"/>
      <c r="K24" t="inlineStr"/>
      <c r="L24" s="15" t="n">
        <v>46175.614338486</v>
      </c>
    </row>
    <row r="25">
      <c r="A25" t="inlineStr">
        <is>
          <t>Lambert Inn</t>
        </is>
      </c>
      <c r="B25" t="inlineStr">
        <is>
          <t>410 W Vine St, Kissimmee, FL 34741, USA</t>
        </is>
      </c>
      <c r="C25" t="n">
        <v>63.5</v>
      </c>
      <c r="D25" t="n">
        <v>65</v>
      </c>
      <c r="E25" t="n">
        <v>3.2</v>
      </c>
      <c r="F25" t="n">
        <v>0.75</v>
      </c>
      <c r="G25" t="inlineStr"/>
      <c r="H25" t="n">
        <v/>
      </c>
      <c r="I25" t="n">
        <v/>
      </c>
      <c r="J25" t="inlineStr"/>
      <c r="K25" t="inlineStr"/>
      <c r="L25" s="15" t="n">
        <v>46175.614338486</v>
      </c>
    </row>
    <row r="26">
      <c r="A26" t="inlineStr">
        <is>
          <t>The Kent Hotel</t>
        </is>
      </c>
      <c r="B26" t="inlineStr">
        <is>
          <t>1131 Collins Ave, Miami Beach, FL 33139, USA</t>
        </is>
      </c>
      <c r="C26" t="n">
        <v>61.6</v>
      </c>
      <c r="D26" t="n">
        <v>62</v>
      </c>
      <c r="E26" t="n">
        <v>3.5</v>
      </c>
      <c r="F26" t="n">
        <v>0.65</v>
      </c>
      <c r="G26" t="inlineStr">
        <is>
          <t>1131 KENT LLC</t>
        </is>
      </c>
      <c r="H26" t="n">
        <v>21</v>
      </c>
      <c r="I26" t="n">
        <v>87</v>
      </c>
      <c r="J26" t="inlineStr"/>
      <c r="K26" t="inlineStr">
        <is>
          <t>Long-Term Owner | Old Property</t>
        </is>
      </c>
      <c r="L26" s="15" t="n">
        <v>46175.44024082858</v>
      </c>
    </row>
    <row r="27">
      <c r="A27" t="inlineStr">
        <is>
          <t>Motel 6 Orlando, FL - International Dr</t>
        </is>
      </c>
      <c r="B27" t="inlineStr">
        <is>
          <t>5909 American Way, Orlando, FL 32819, USA</t>
        </is>
      </c>
      <c r="C27" t="n">
        <v>61.5</v>
      </c>
      <c r="D27" t="n">
        <v>65</v>
      </c>
      <c r="E27" t="n">
        <v>3.2</v>
      </c>
      <c r="F27" t="n">
        <v>0.75</v>
      </c>
      <c r="G27" t="inlineStr"/>
      <c r="H27" t="n">
        <v/>
      </c>
      <c r="I27" t="n">
        <v/>
      </c>
      <c r="J27" t="inlineStr">
        <is>
          <t>G6</t>
        </is>
      </c>
      <c r="K27" t="inlineStr"/>
      <c r="L27" s="15" t="n">
        <v>46175.614338486</v>
      </c>
    </row>
    <row r="28">
      <c r="A28" t="inlineStr">
        <is>
          <t>Sorrento Tower</t>
        </is>
      </c>
      <c r="B28" t="inlineStr">
        <is>
          <t>Miami Beach Boardwalk, Miami Beach, FL 33140, USA</t>
        </is>
      </c>
      <c r="C28" t="n">
        <v>60.5</v>
      </c>
      <c r="D28" t="n">
        <v>65</v>
      </c>
      <c r="E28" t="n">
        <v>3.2</v>
      </c>
      <c r="F28" t="n">
        <v>0.75</v>
      </c>
      <c r="G28" t="inlineStr"/>
      <c r="H28" t="n">
        <v/>
      </c>
      <c r="I28" t="n">
        <v/>
      </c>
      <c r="J28" t="inlineStr"/>
      <c r="K28" t="inlineStr"/>
      <c r="L28" s="15" t="n">
        <v>46175.614338486</v>
      </c>
    </row>
    <row r="29">
      <c r="A29" t="inlineStr">
        <is>
          <t>Dua Miami, Autograph Collection</t>
        </is>
      </c>
      <c r="B29" t="inlineStr">
        <is>
          <t>1300 S Miami Ave, Miami, FL 33130, USA</t>
        </is>
      </c>
      <c r="C29" t="n">
        <v>60.5</v>
      </c>
      <c r="D29" t="n">
        <v>65</v>
      </c>
      <c r="E29" t="n">
        <v>3.5</v>
      </c>
      <c r="F29" t="n">
        <v>0.75</v>
      </c>
      <c r="G29" t="inlineStr"/>
      <c r="H29" t="n">
        <v/>
      </c>
      <c r="I29" t="n">
        <v/>
      </c>
      <c r="J29" t="inlineStr"/>
      <c r="K29" t="inlineStr"/>
      <c r="L29" s="15" t="n">
        <v>46175.614338486</v>
      </c>
    </row>
    <row r="30">
      <c r="A30" t="inlineStr">
        <is>
          <t>Tru by Hilton Miami Airport South Blue Lagoon</t>
        </is>
      </c>
      <c r="B30" t="inlineStr">
        <is>
          <t>5560 Waterford District Dr, Miami, FL 33126, USA</t>
        </is>
      </c>
      <c r="C30" t="n">
        <v>60.4</v>
      </c>
      <c r="D30" t="n">
        <v>58</v>
      </c>
      <c r="E30" t="n">
        <v>3</v>
      </c>
      <c r="F30" t="n">
        <v>0.65</v>
      </c>
      <c r="G30" t="inlineStr"/>
      <c r="H30" t="n">
        <v/>
      </c>
      <c r="I30" t="n">
        <v/>
      </c>
      <c r="J30" t="inlineStr">
        <is>
          <t>Hilton</t>
        </is>
      </c>
      <c r="K30" t="inlineStr"/>
      <c r="L30" s="15" t="n">
        <v>46175.614338486</v>
      </c>
    </row>
    <row r="31">
      <c r="A31" t="inlineStr">
        <is>
          <t>Extended Stay America Premier Suites- Miami - Airport - Miami Springs</t>
        </is>
      </c>
      <c r="B31" t="inlineStr">
        <is>
          <t>101 Fairway Dr, Miami, FL 33166, USA</t>
        </is>
      </c>
      <c r="C31" t="n">
        <v>59.5</v>
      </c>
      <c r="D31" t="n">
        <v>55</v>
      </c>
      <c r="E31" t="n">
        <v>2.8</v>
      </c>
      <c r="F31" t="n">
        <v>0.75</v>
      </c>
      <c r="G31" t="inlineStr"/>
      <c r="H31" t="n">
        <v/>
      </c>
      <c r="I31" t="n">
        <v/>
      </c>
      <c r="J31" t="inlineStr"/>
      <c r="K31" t="inlineStr"/>
      <c r="L31" s="15" t="n">
        <v>46175.614338486</v>
      </c>
    </row>
    <row r="32">
      <c r="A32" t="inlineStr">
        <is>
          <t>Leamington Hotel</t>
        </is>
      </c>
      <c r="B32" t="inlineStr">
        <is>
          <t>307 NE 1st St, Miami, FL 33132, USA</t>
        </is>
      </c>
      <c r="C32" t="n">
        <v>59.5</v>
      </c>
      <c r="D32" t="n">
        <v>75</v>
      </c>
      <c r="E32" t="n">
        <v>3.5</v>
      </c>
      <c r="F32" t="n">
        <v>0.85</v>
      </c>
      <c r="G32" t="inlineStr"/>
      <c r="H32" t="n">
        <v/>
      </c>
      <c r="I32" t="n">
        <v/>
      </c>
      <c r="J32" t="inlineStr"/>
      <c r="K32" t="inlineStr"/>
      <c r="L32" s="15" t="n">
        <v>46175.614338486</v>
      </c>
    </row>
    <row r="33">
      <c r="A33" t="inlineStr">
        <is>
          <t>Lexington by Hotel RL Miami Beach</t>
        </is>
      </c>
      <c r="B33" t="inlineStr">
        <is>
          <t>4299 Collins Ave, Miami Beach, FL 33140, USA</t>
        </is>
      </c>
      <c r="C33" t="n">
        <v>58.6</v>
      </c>
      <c r="D33" t="n">
        <v>72</v>
      </c>
      <c r="E33" t="n">
        <v>3.5</v>
      </c>
      <c r="F33" t="n">
        <v>0.85</v>
      </c>
      <c r="G33" t="inlineStr"/>
      <c r="H33" t="n">
        <v/>
      </c>
      <c r="I33" t="n">
        <v/>
      </c>
      <c r="J33" t="inlineStr"/>
      <c r="K33" t="inlineStr"/>
      <c r="L33" s="15" t="n">
        <v>46175.614338486</v>
      </c>
    </row>
    <row r="34">
      <c r="A34" t="inlineStr">
        <is>
          <t>Viscay Hotel</t>
        </is>
      </c>
      <c r="B34" t="inlineStr">
        <is>
          <t>960 Collins Ave, Miami Beach, FL 33139, USA</t>
        </is>
      </c>
      <c r="C34" t="n">
        <v>58.6</v>
      </c>
      <c r="D34" t="n">
        <v>62</v>
      </c>
      <c r="E34" t="n">
        <v>3.5</v>
      </c>
      <c r="F34" t="n">
        <v>0.65</v>
      </c>
      <c r="G34" t="inlineStr">
        <is>
          <t>VISCAY LLC</t>
        </is>
      </c>
      <c r="H34" t="n">
        <v>17</v>
      </c>
      <c r="I34" t="n">
        <v>85</v>
      </c>
      <c r="J34" t="inlineStr"/>
      <c r="K34" t="inlineStr">
        <is>
          <t>Long-Term Owner | Old Property</t>
        </is>
      </c>
      <c r="L34" s="15" t="n">
        <v>46175.44024082858</v>
      </c>
    </row>
    <row r="35">
      <c r="A35" t="inlineStr">
        <is>
          <t>Super 8 by Wyndham Orlando International Drive</t>
        </is>
      </c>
      <c r="B35" t="inlineStr">
        <is>
          <t>5900 American Way, Orlando, FL 32819, USA</t>
        </is>
      </c>
      <c r="C35" t="n">
        <v>56.5</v>
      </c>
      <c r="D35" t="n">
        <v>65</v>
      </c>
      <c r="E35" t="n">
        <v>3.2</v>
      </c>
      <c r="F35" t="n">
        <v>0.85</v>
      </c>
      <c r="G35" t="inlineStr"/>
      <c r="H35" t="n">
        <v/>
      </c>
      <c r="I35" t="n">
        <v/>
      </c>
      <c r="J35" t="inlineStr">
        <is>
          <t>Wyndham</t>
        </is>
      </c>
      <c r="K35" t="inlineStr"/>
      <c r="L35" s="15" t="n">
        <v>46175.614338486</v>
      </c>
    </row>
    <row r="36">
      <c r="A36" t="inlineStr">
        <is>
          <t>Flamingo Inn</t>
        </is>
      </c>
      <c r="B36" t="inlineStr">
        <is>
          <t>801 E Vine St, Kissimmee, FL 34744, USA</t>
        </is>
      </c>
      <c r="C36" t="n">
        <v>56.5</v>
      </c>
      <c r="D36" t="n">
        <v>65</v>
      </c>
      <c r="E36" t="n">
        <v>3.2</v>
      </c>
      <c r="F36" t="n">
        <v>0.85</v>
      </c>
      <c r="G36" t="inlineStr"/>
      <c r="H36" t="n">
        <v/>
      </c>
      <c r="I36" t="n">
        <v/>
      </c>
      <c r="J36" t="inlineStr"/>
      <c r="K36" t="inlineStr"/>
      <c r="L36" s="15" t="n">
        <v>46175.614338486</v>
      </c>
    </row>
    <row r="37">
      <c r="A37" t="inlineStr">
        <is>
          <t>Miami International Apartments by Lowkl</t>
        </is>
      </c>
      <c r="B37" t="inlineStr">
        <is>
          <t>1051 Collins Ave, Miami Beach, FL 33139, USA</t>
        </is>
      </c>
      <c r="C37" t="n">
        <v>55.6</v>
      </c>
      <c r="D37" t="n">
        <v>62</v>
      </c>
      <c r="E37" t="n">
        <v>3.5</v>
      </c>
      <c r="F37" t="n">
        <v>0.65</v>
      </c>
      <c r="G37" t="inlineStr">
        <is>
          <t>1051 COLLINS HOTEL LLC|DAN-BRAN REALTY LLC</t>
        </is>
      </c>
      <c r="H37" t="n">
        <v>13</v>
      </c>
      <c r="I37" t="n">
        <v>69</v>
      </c>
      <c r="J37" t="inlineStr"/>
      <c r="K37" t="inlineStr">
        <is>
          <t>Long-Term Owner | Old Property</t>
        </is>
      </c>
      <c r="L37" s="15" t="n">
        <v>46175.44024082858</v>
      </c>
    </row>
    <row r="38">
      <c r="A38" t="inlineStr">
        <is>
          <t>Crest Hotel Suites</t>
        </is>
      </c>
      <c r="B38" t="inlineStr">
        <is>
          <t>1670 James Ave, Miami Beach, FL 33139, USA</t>
        </is>
      </c>
      <c r="C38" t="n">
        <v>55.6</v>
      </c>
      <c r="D38" t="n">
        <v>72</v>
      </c>
      <c r="E38" t="n">
        <v>3.5</v>
      </c>
      <c r="F38" t="n">
        <v>0.85</v>
      </c>
      <c r="G38" t="inlineStr"/>
      <c r="H38" t="n">
        <v/>
      </c>
      <c r="I38" t="n">
        <v/>
      </c>
      <c r="J38" t="inlineStr"/>
      <c r="K38" t="inlineStr"/>
      <c r="L38" s="15" t="n">
        <v>46175.614338486</v>
      </c>
    </row>
    <row r="39">
      <c r="A39" t="inlineStr">
        <is>
          <t>Element by Marriott Fort Lauderdale Downtown</t>
        </is>
      </c>
      <c r="B39" t="inlineStr">
        <is>
          <t>299 N Federal Hwy, Fort Lauderdale, FL 33301, USA</t>
        </is>
      </c>
      <c r="C39" t="n">
        <v>55.5</v>
      </c>
      <c r="D39" t="n">
        <v>65</v>
      </c>
      <c r="E39" t="n">
        <v>3.5</v>
      </c>
      <c r="F39" t="n">
        <v>0.7</v>
      </c>
      <c r="G39" t="inlineStr"/>
      <c r="H39" t="n">
        <v/>
      </c>
      <c r="I39" t="n">
        <v/>
      </c>
      <c r="J39" t="inlineStr">
        <is>
          <t>Marriott</t>
        </is>
      </c>
      <c r="K39" t="inlineStr"/>
      <c r="L39" s="15" t="n">
        <v>46175.614338486</v>
      </c>
    </row>
    <row r="40">
      <c r="A40" t="inlineStr">
        <is>
          <t>Kapp and Kappy B&amp;B</t>
        </is>
      </c>
      <c r="B40" t="inlineStr">
        <is>
          <t>21 N Clyde Ave, Kissimmee, FL 34741, USA</t>
        </is>
      </c>
      <c r="C40" t="n">
        <v>53.5</v>
      </c>
      <c r="D40" t="n">
        <v>65</v>
      </c>
      <c r="E40" t="n">
        <v>3.5</v>
      </c>
      <c r="F40" t="n">
        <v>0.85</v>
      </c>
      <c r="G40" t="inlineStr"/>
      <c r="H40" t="n">
        <v/>
      </c>
      <c r="I40" t="n">
        <v/>
      </c>
      <c r="J40" t="inlineStr"/>
      <c r="K40" t="inlineStr"/>
      <c r="L40" s="15" t="n">
        <v>46175.614338486</v>
      </c>
    </row>
    <row r="41">
      <c r="A41" t="inlineStr">
        <is>
          <t>Fontainebleau Miami Beach Private Suites</t>
        </is>
      </c>
      <c r="B41" t="inlineStr">
        <is>
          <t>4391 Collins Ave #715, Miami Beach, FL 33140, USA</t>
        </is>
      </c>
      <c r="C41" t="n">
        <v>53.5</v>
      </c>
      <c r="D41" t="n">
        <v>65</v>
      </c>
      <c r="E41" t="n">
        <v>3.2</v>
      </c>
      <c r="F41" t="n">
        <v>0.85</v>
      </c>
      <c r="G41" t="inlineStr"/>
      <c r="H41" t="n">
        <v/>
      </c>
      <c r="I41" t="n">
        <v/>
      </c>
      <c r="J41" t="inlineStr"/>
      <c r="K41" t="inlineStr"/>
      <c r="L41" s="15" t="n">
        <v>46175.614338486</v>
      </c>
    </row>
    <row r="42">
      <c r="A42" t="inlineStr">
        <is>
          <t>Hotel Evernia</t>
        </is>
      </c>
      <c r="B42" t="inlineStr">
        <is>
          <t>609 Evernia St, West Palm Beach, FL 33401, USA</t>
        </is>
      </c>
      <c r="C42" t="n">
        <v>53.5</v>
      </c>
      <c r="D42" t="n">
        <v>65</v>
      </c>
      <c r="E42" t="n">
        <v>3.2</v>
      </c>
      <c r="F42" t="n">
        <v>0.85</v>
      </c>
      <c r="G42" t="inlineStr"/>
      <c r="H42" t="n">
        <v/>
      </c>
      <c r="I42" t="n">
        <v/>
      </c>
      <c r="J42" t="inlineStr"/>
      <c r="K42" t="inlineStr"/>
      <c r="L42" s="15" t="n">
        <v>46175.614338486</v>
      </c>
    </row>
    <row r="43">
      <c r="A43" t="inlineStr">
        <is>
          <t>Casa Marina</t>
        </is>
      </c>
      <c r="B43" t="inlineStr">
        <is>
          <t>Key West, FL 33040, USA</t>
        </is>
      </c>
      <c r="C43" t="n">
        <v>53.5</v>
      </c>
      <c r="D43" t="n">
        <v>65</v>
      </c>
      <c r="E43" t="n">
        <v>3.2</v>
      </c>
      <c r="F43" t="n">
        <v>0.85</v>
      </c>
      <c r="G43" t="inlineStr"/>
      <c r="H43" t="n">
        <v/>
      </c>
      <c r="I43" t="n">
        <v/>
      </c>
      <c r="J43" t="inlineStr"/>
      <c r="K43" t="inlineStr"/>
      <c r="L43" s="15" t="n">
        <v>46175.614338486</v>
      </c>
    </row>
    <row r="44">
      <c r="A44" t="inlineStr">
        <is>
          <t>Fairwind Hotel Miami</t>
        </is>
      </c>
      <c r="B44" t="inlineStr">
        <is>
          <t>1000 Collins Ave, Miami Beach, FL 33139, USA</t>
        </is>
      </c>
      <c r="C44" t="n">
        <v>52.5</v>
      </c>
      <c r="D44" t="n">
        <v>65</v>
      </c>
      <c r="E44" t="n">
        <v>3.5</v>
      </c>
      <c r="F44" t="n">
        <v>0.75</v>
      </c>
      <c r="G44" t="inlineStr">
        <is>
          <t>ITALPLAZA OF COLLINS LLC</t>
        </is>
      </c>
      <c r="H44" t="n">
        <v>1</v>
      </c>
      <c r="I44" t="n">
        <v>90</v>
      </c>
      <c r="J44" t="inlineStr"/>
      <c r="K44" t="inlineStr">
        <is>
          <t>Old Property</t>
        </is>
      </c>
      <c r="L44" s="15" t="n">
        <v>46175.44024082858</v>
      </c>
    </row>
    <row r="45">
      <c r="A45" t="inlineStr">
        <is>
          <t>Holiday Inn Miami Beach-Oceanfront by IHG</t>
        </is>
      </c>
      <c r="B45" t="inlineStr">
        <is>
          <t>4333 Collins Ave, Miami Beach, FL 33140, USA</t>
        </is>
      </c>
      <c r="C45" t="n">
        <v>50.4</v>
      </c>
      <c r="D45" t="n">
        <v>58</v>
      </c>
      <c r="E45" t="n">
        <v>3</v>
      </c>
      <c r="F45" t="n">
        <v>0.65</v>
      </c>
      <c r="G45" t="inlineStr"/>
      <c r="H45" t="n">
        <v/>
      </c>
      <c r="I45" t="n">
        <v/>
      </c>
      <c r="J45" t="inlineStr">
        <is>
          <t>IHG</t>
        </is>
      </c>
      <c r="K45" t="inlineStr"/>
      <c r="L45" s="15" t="n">
        <v>46175.614338486</v>
      </c>
    </row>
    <row r="46">
      <c r="A46" t="inlineStr">
        <is>
          <t>The Lofts On Clematis | Stay West Palm</t>
        </is>
      </c>
      <c r="B46" t="inlineStr">
        <is>
          <t>208 Clematis St, West Palm Beach, FL 33401, USA</t>
        </is>
      </c>
      <c r="C46" t="n">
        <v>47.5</v>
      </c>
      <c r="D46" t="n">
        <v>55</v>
      </c>
      <c r="E46" t="n">
        <v>2.8</v>
      </c>
      <c r="F46" t="n">
        <v>0.65</v>
      </c>
      <c r="G46" t="inlineStr"/>
      <c r="H46" t="n">
        <v/>
      </c>
      <c r="I46" t="n">
        <v/>
      </c>
      <c r="J46" t="inlineStr"/>
      <c r="K46" t="inlineStr"/>
      <c r="L46" s="15" t="n">
        <v>46175.614338486</v>
      </c>
    </row>
    <row r="47">
      <c r="A47" t="inlineStr">
        <is>
          <t>Comfort Suites Miami Airport North</t>
        </is>
      </c>
      <c r="B47" t="inlineStr">
        <is>
          <t>657 Minola Dr, Miami Springs, FL 33166, USA</t>
        </is>
      </c>
      <c r="C47" t="n">
        <v>46.6</v>
      </c>
      <c r="D47" t="n">
        <v>62</v>
      </c>
      <c r="E47" t="n">
        <v>3.2</v>
      </c>
      <c r="F47" t="n">
        <v>0.65</v>
      </c>
      <c r="G47" t="inlineStr"/>
      <c r="H47" t="n">
        <v/>
      </c>
      <c r="I47" t="n">
        <v/>
      </c>
      <c r="J47" t="inlineStr"/>
      <c r="K47" t="inlineStr"/>
      <c r="L47" s="15" t="n">
        <v>46175.614338486</v>
      </c>
    </row>
    <row r="48">
      <c r="A48" t="inlineStr">
        <is>
          <t>JW Marriott Marquis Miami</t>
        </is>
      </c>
      <c r="B48" t="inlineStr">
        <is>
          <t>255 Biscayne Blvd Way, Miami, FL 33131, USA</t>
        </is>
      </c>
      <c r="C48" t="n">
        <v>45</v>
      </c>
      <c r="D48" t="n">
        <v>50</v>
      </c>
      <c r="E48" t="n">
        <v>3</v>
      </c>
      <c r="F48" t="n">
        <v>0.55</v>
      </c>
      <c r="G48" t="inlineStr"/>
      <c r="H48" t="n">
        <v/>
      </c>
      <c r="I48" t="n">
        <v/>
      </c>
      <c r="J48" t="inlineStr">
        <is>
          <t>Marriott</t>
        </is>
      </c>
      <c r="K48" t="inlineStr"/>
      <c r="L48" s="15" t="n">
        <v>46175.614338486</v>
      </c>
    </row>
    <row r="49">
      <c r="A49" t="inlineStr">
        <is>
          <t>Hotel Continental Miami Beach, Tapestry Collection by Hilton</t>
        </is>
      </c>
      <c r="B49" t="inlineStr">
        <is>
          <t>4000 Collins Ave, Miami Beach, FL 33140, USA</t>
        </is>
      </c>
      <c r="C49" t="n">
        <v>45</v>
      </c>
      <c r="D49" t="n">
        <v>50</v>
      </c>
      <c r="E49" t="n">
        <v>2.8</v>
      </c>
      <c r="F49" t="n">
        <v>0.45</v>
      </c>
      <c r="G49" t="inlineStr"/>
      <c r="H49" t="n">
        <v/>
      </c>
      <c r="I49" t="n">
        <v/>
      </c>
      <c r="J49" t="inlineStr">
        <is>
          <t>Hilton</t>
        </is>
      </c>
      <c r="K49" t="inlineStr"/>
      <c r="L49" s="15" t="n">
        <v>46175.614338486</v>
      </c>
    </row>
    <row r="50">
      <c r="A50" t="inlineStr">
        <is>
          <t>Henry's Piece Of Paradise</t>
        </is>
      </c>
      <c r="B50" t="inlineStr">
        <is>
          <t>1800 Atlantic Blvd, Key West, FL 33040, USA</t>
        </is>
      </c>
      <c r="C50" t="n">
        <v>44.5</v>
      </c>
      <c r="D50" t="n">
        <v>55</v>
      </c>
      <c r="E50" t="n">
        <v>3</v>
      </c>
      <c r="F50" t="n">
        <v>0.65</v>
      </c>
      <c r="G50" t="inlineStr"/>
      <c r="H50" t="n">
        <v/>
      </c>
      <c r="I50" t="n">
        <v/>
      </c>
      <c r="J50" t="inlineStr"/>
      <c r="K50" t="inlineStr"/>
      <c r="L50" s="15" t="n">
        <v>46175.614338486</v>
      </c>
    </row>
    <row r="51">
      <c r="A51" t="inlineStr">
        <is>
          <t>Cambria Hotel Orlando Universal Blvd</t>
        </is>
      </c>
      <c r="B51" t="inlineStr">
        <is>
          <t>6801 Visitors Cir, Orlando, FL 32819, USA</t>
        </is>
      </c>
      <c r="C51" t="n">
        <v>44.5</v>
      </c>
      <c r="D51" t="n">
        <v>55</v>
      </c>
      <c r="E51" t="n">
        <v>3</v>
      </c>
      <c r="F51" t="n">
        <v>0.6</v>
      </c>
      <c r="G51" t="inlineStr"/>
      <c r="H51" t="n">
        <v/>
      </c>
      <c r="I51" t="n">
        <v/>
      </c>
      <c r="J51" t="inlineStr"/>
      <c r="K51" t="inlineStr"/>
      <c r="L51" s="15" t="n">
        <v>46175.614338486</v>
      </c>
    </row>
    <row r="52">
      <c r="A52" t="inlineStr">
        <is>
          <t>Hotel Beaux Arts, Autograph Collection</t>
        </is>
      </c>
      <c r="B52" t="inlineStr">
        <is>
          <t>Located Inside Of The Jw Marriott Marquis Miami Tower, 255 Biscayne Blvd Way, Miami, FL 33131, USA</t>
        </is>
      </c>
      <c r="C52" t="n">
        <v>44.5</v>
      </c>
      <c r="D52" t="n">
        <v>55</v>
      </c>
      <c r="E52" t="n">
        <v>2.8</v>
      </c>
      <c r="F52" t="n">
        <v>0.65</v>
      </c>
      <c r="G52" t="inlineStr"/>
      <c r="H52" t="n">
        <v/>
      </c>
      <c r="I52" t="n">
        <v/>
      </c>
      <c r="J52" t="inlineStr"/>
      <c r="K52" t="inlineStr"/>
      <c r="L52" s="15" t="n">
        <v>46175.614338486</v>
      </c>
    </row>
    <row r="53">
      <c r="A53" t="inlineStr">
        <is>
          <t>Miami Downtown Vacation Suites</t>
        </is>
      </c>
      <c r="B53" t="inlineStr">
        <is>
          <t>227 NE 2nd St, Miami, FL 33132, USA</t>
        </is>
      </c>
      <c r="C53" t="n">
        <v>44.5</v>
      </c>
      <c r="D53" t="n">
        <v>65</v>
      </c>
      <c r="E53" t="n">
        <v>3.2</v>
      </c>
      <c r="F53" t="n">
        <v>0.85</v>
      </c>
      <c r="G53" t="inlineStr"/>
      <c r="H53" t="n">
        <v/>
      </c>
      <c r="I53" t="n">
        <v/>
      </c>
      <c r="J53" t="inlineStr"/>
      <c r="K53" t="inlineStr"/>
      <c r="L53" s="15" t="n">
        <v>46175.614338486</v>
      </c>
    </row>
    <row r="54">
      <c r="A54" t="inlineStr">
        <is>
          <t>YVE Hotel Miami</t>
        </is>
      </c>
      <c r="B54" t="inlineStr">
        <is>
          <t>146 Biscayne Blvd, Miami, FL 33132, USA</t>
        </is>
      </c>
      <c r="C54" t="n">
        <v>44.5</v>
      </c>
      <c r="D54" t="n">
        <v>55</v>
      </c>
      <c r="E54" t="n">
        <v>2.8</v>
      </c>
      <c r="F54" t="n">
        <v>0.65</v>
      </c>
      <c r="G54" t="inlineStr"/>
      <c r="H54" t="n">
        <v/>
      </c>
      <c r="I54" t="n">
        <v/>
      </c>
      <c r="J54" t="inlineStr"/>
      <c r="K54" t="inlineStr"/>
      <c r="L54" s="15" t="n">
        <v>46175.614338486</v>
      </c>
    </row>
    <row r="55">
      <c r="A55" t="inlineStr">
        <is>
          <t>Comfort Inn &amp; Suites Downtown Brickell-Port of Miami</t>
        </is>
      </c>
      <c r="B55" t="inlineStr">
        <is>
          <t>100 SE 4th St, Miami, FL 33131, USA</t>
        </is>
      </c>
      <c r="C55" t="n">
        <v>44.4</v>
      </c>
      <c r="D55" t="n">
        <v>48</v>
      </c>
      <c r="E55" t="n">
        <v>2.7</v>
      </c>
      <c r="F55" t="n">
        <v>0.55</v>
      </c>
      <c r="G55" t="inlineStr"/>
      <c r="H55" t="n">
        <v/>
      </c>
      <c r="I55" t="n">
        <v/>
      </c>
      <c r="J55" t="inlineStr">
        <is>
          <t>Choice</t>
        </is>
      </c>
      <c r="K55" t="inlineStr"/>
      <c r="L55" s="15" t="n">
        <v>46175.614338486</v>
      </c>
    </row>
    <row r="56">
      <c r="A56" t="inlineStr">
        <is>
          <t>Dream South Beach, by Hyatt</t>
        </is>
      </c>
      <c r="B56" t="inlineStr">
        <is>
          <t>1111 Collins Ave, Miami Beach, FL 33139, USA</t>
        </is>
      </c>
      <c r="C56" t="n">
        <v>43.5</v>
      </c>
      <c r="D56" t="n">
        <v>55</v>
      </c>
      <c r="E56" t="n">
        <v>3</v>
      </c>
      <c r="F56" t="n">
        <v>0.45</v>
      </c>
      <c r="G56" t="inlineStr"/>
      <c r="H56" t="n">
        <v/>
      </c>
      <c r="I56" t="n">
        <v/>
      </c>
      <c r="J56" t="inlineStr">
        <is>
          <t>Hyatt</t>
        </is>
      </c>
      <c r="K56" t="inlineStr"/>
      <c r="L56" s="15" t="n">
        <v>46175.44024082858</v>
      </c>
    </row>
    <row r="57">
      <c r="A57" t="inlineStr">
        <is>
          <t>The Marlin Hotel</t>
        </is>
      </c>
      <c r="B57" t="inlineStr">
        <is>
          <t>1200 Collins Ave, Miami Beach, FL 33139, USA</t>
        </is>
      </c>
      <c r="C57" t="n">
        <v>42.6</v>
      </c>
      <c r="D57" t="n">
        <v>52</v>
      </c>
      <c r="E57" t="n">
        <v>2.8</v>
      </c>
      <c r="F57" t="n">
        <v>0.55</v>
      </c>
      <c r="G57" t="inlineStr"/>
      <c r="H57" t="n">
        <v/>
      </c>
      <c r="I57" t="n">
        <v>87</v>
      </c>
      <c r="J57" t="inlineStr"/>
      <c r="K57" t="inlineStr">
        <is>
          <t>Old Property</t>
        </is>
      </c>
      <c r="L57" s="15" t="n">
        <v>46175.44024082858</v>
      </c>
    </row>
    <row r="58">
      <c r="A58" t="inlineStr">
        <is>
          <t>SureStay Plus By Best Western Orlando International Drive</t>
        </is>
      </c>
      <c r="B58" t="inlineStr">
        <is>
          <t>5859 American Way, Orlando, FL 32819, USA</t>
        </is>
      </c>
      <c r="C58" t="n">
        <v>42.4</v>
      </c>
      <c r="D58" t="n">
        <v>58</v>
      </c>
      <c r="E58" t="n">
        <v>3</v>
      </c>
      <c r="F58" t="n">
        <v>0.65</v>
      </c>
      <c r="G58" t="inlineStr"/>
      <c r="H58" t="n">
        <v/>
      </c>
      <c r="I58" t="n">
        <v/>
      </c>
      <c r="J58" t="inlineStr">
        <is>
          <t>Best Western</t>
        </is>
      </c>
      <c r="K58" t="inlineStr"/>
      <c r="L58" s="15" t="n">
        <v>46175.614338486</v>
      </c>
    </row>
    <row r="59">
      <c r="A59" t="inlineStr">
        <is>
          <t>Fairfield by Marriott Inn &amp; Suites Key West</t>
        </is>
      </c>
      <c r="B59" t="inlineStr">
        <is>
          <t>2400 N Roosevelt Blvd, Key West, FL 33040, USA</t>
        </is>
      </c>
      <c r="C59" t="n">
        <v>41.4</v>
      </c>
      <c r="D59" t="n">
        <v>48</v>
      </c>
      <c r="E59" t="n">
        <v>2.7</v>
      </c>
      <c r="F59" t="n">
        <v>0.45</v>
      </c>
      <c r="G59" t="inlineStr"/>
      <c r="H59" t="n">
        <v/>
      </c>
      <c r="I59" t="n">
        <v/>
      </c>
      <c r="J59" t="inlineStr">
        <is>
          <t>Marriott</t>
        </is>
      </c>
      <c r="K59" t="inlineStr"/>
      <c r="L59" s="15" t="n">
        <v>46175.614338486</v>
      </c>
    </row>
    <row r="60">
      <c r="A60" t="inlineStr">
        <is>
          <t>Universal Endless Summer Resort – Surfside Inn and Suites</t>
        </is>
      </c>
      <c r="B60" t="inlineStr">
        <is>
          <t>7000 Universal Blvd, Orlando, FL 32819, USA</t>
        </is>
      </c>
      <c r="C60" t="n">
        <v>40.6</v>
      </c>
      <c r="D60" t="n">
        <v>52</v>
      </c>
      <c r="E60" t="n">
        <v>2.8</v>
      </c>
      <c r="F60" t="n">
        <v>0.55</v>
      </c>
      <c r="G60" t="inlineStr"/>
      <c r="H60" t="n">
        <v/>
      </c>
      <c r="I60" t="n">
        <v/>
      </c>
      <c r="J60" t="inlineStr"/>
      <c r="K60" t="inlineStr"/>
      <c r="L60" s="15" t="n">
        <v>46175.614338486</v>
      </c>
    </row>
    <row r="61">
      <c r="A61" t="inlineStr">
        <is>
          <t>Albion Hotel</t>
        </is>
      </c>
      <c r="B61" t="inlineStr">
        <is>
          <t>1650 James Ave, Miami Beach, FL 33139, USA</t>
        </is>
      </c>
      <c r="C61" t="n">
        <v>40</v>
      </c>
      <c r="D61" t="n">
        <v>50</v>
      </c>
      <c r="E61" t="n">
        <v>2.8</v>
      </c>
      <c r="F61" t="n">
        <v>0.55</v>
      </c>
      <c r="G61" t="inlineStr"/>
      <c r="H61" t="n">
        <v/>
      </c>
      <c r="I61" t="n">
        <v/>
      </c>
      <c r="J61" t="inlineStr"/>
      <c r="K61" t="inlineStr"/>
      <c r="L61" s="15" t="n">
        <v>46175.614338486</v>
      </c>
    </row>
    <row r="62">
      <c r="A62" t="inlineStr">
        <is>
          <t>Andaz Miami Beach Resort &amp; Spa</t>
        </is>
      </c>
      <c r="B62" t="inlineStr">
        <is>
          <t>4041 Collins Ave, Miami Beach, FL 33140, USA</t>
        </is>
      </c>
      <c r="C62" t="n">
        <v>40</v>
      </c>
      <c r="D62" t="n">
        <v>50</v>
      </c>
      <c r="E62" t="n">
        <v>2.8</v>
      </c>
      <c r="F62" t="n">
        <v>0.55</v>
      </c>
      <c r="G62" t="inlineStr"/>
      <c r="H62" t="n">
        <v/>
      </c>
      <c r="I62" t="n">
        <v/>
      </c>
      <c r="J62" t="inlineStr"/>
      <c r="K62" t="inlineStr"/>
      <c r="L62" s="15" t="n">
        <v>46175.614338486</v>
      </c>
    </row>
    <row r="63">
      <c r="A63" t="inlineStr">
        <is>
          <t>Brickell Arch, a Luxury Collection Hotel, Miami</t>
        </is>
      </c>
      <c r="B63" t="inlineStr">
        <is>
          <t>1395 Brickell Ave, Miami, FL 33131, USA</t>
        </is>
      </c>
      <c r="C63" t="n">
        <v>40</v>
      </c>
      <c r="D63" t="n">
        <v>50</v>
      </c>
      <c r="E63" t="n">
        <v>2.8</v>
      </c>
      <c r="F63" t="n">
        <v>0.55</v>
      </c>
      <c r="G63" t="inlineStr"/>
      <c r="H63" t="n">
        <v/>
      </c>
      <c r="I63" t="n">
        <v/>
      </c>
      <c r="J63" t="inlineStr"/>
      <c r="K63" t="inlineStr"/>
      <c r="L63" s="15" t="n">
        <v>46175.614338486</v>
      </c>
    </row>
  </sheetData>
  <autoFilter ref="A1:L6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19" customWidth="1" min="2" max="2"/>
    <col width="20" customWidth="1" min="3" max="3"/>
    <col width="29" customWidth="1" min="4" max="4"/>
    <col width="25" customWidth="1" min="5" max="5"/>
    <col width="33" customWidth="1" min="6" max="6"/>
  </cols>
  <sheetData>
    <row r="1">
      <c r="A1" t="inlineStr">
        <is>
          <t>hotel_name</t>
        </is>
      </c>
      <c r="B1" t="inlineStr">
        <is>
          <t>final_lead_score</t>
        </is>
      </c>
      <c r="C1" t="inlineStr">
        <is>
          <t>opportunity_score</t>
        </is>
      </c>
      <c r="D1" t="inlineStr">
        <is>
          <t>owner_name</t>
        </is>
      </c>
      <c r="E1" t="inlineStr">
        <is>
          <t>ownership_length_years</t>
        </is>
      </c>
      <c r="F1" t="inlineStr">
        <is>
          <t>signals_fired</t>
        </is>
      </c>
    </row>
    <row r="2">
      <c r="A2" t="inlineStr">
        <is>
          <t>Casa Boutique Hotel</t>
        </is>
      </c>
      <c r="B2" t="n">
        <v>93.5</v>
      </c>
      <c r="C2" t="n">
        <v>65</v>
      </c>
      <c r="D2" t="inlineStr">
        <is>
          <t>WALDORF HOTEL LLC</t>
        </is>
      </c>
      <c r="E2" t="n">
        <v>11</v>
      </c>
      <c r="F2" t="inlineStr">
        <is>
          <t>Long-Term Owner | Old Property</t>
        </is>
      </c>
    </row>
    <row r="3">
      <c r="A3" t="inlineStr">
        <is>
          <t>The Miami Beach</t>
        </is>
      </c>
      <c r="B3" t="n">
        <v>93.5</v>
      </c>
      <c r="C3" t="n">
        <v>65</v>
      </c>
      <c r="D3" t="inlineStr">
        <is>
          <t>BENEDETTO 2019 INC</t>
        </is>
      </c>
      <c r="E3" t="n">
        <v>10</v>
      </c>
      <c r="F3" t="inlineStr">
        <is>
          <t>Long-Term Owner | Old Property</t>
        </is>
      </c>
    </row>
    <row r="4">
      <c r="A4" t="inlineStr">
        <is>
          <t>Best Western Plus Atlantic Beach Resort</t>
        </is>
      </c>
      <c r="B4" t="n">
        <v>89.5</v>
      </c>
      <c r="C4" t="n">
        <v>55</v>
      </c>
      <c r="D4" t="inlineStr"/>
      <c r="E4" t="n">
        <v/>
      </c>
      <c r="F4" t="inlineStr"/>
    </row>
    <row r="5">
      <c r="A5" t="inlineStr">
        <is>
          <t>Four Points by Sheraton Orlando International Drive</t>
        </is>
      </c>
      <c r="B5" t="n">
        <v>83.5</v>
      </c>
      <c r="C5" t="n">
        <v>65</v>
      </c>
      <c r="D5" t="inlineStr"/>
      <c r="E5" t="n">
        <v/>
      </c>
      <c r="F5" t="inlineStr"/>
    </row>
    <row r="6">
      <c r="A6" t="inlineStr">
        <is>
          <t>Clarion Inn &amp; Suites Miami International Airport</t>
        </is>
      </c>
      <c r="B6" t="n">
        <v>80.5</v>
      </c>
      <c r="C6" t="n">
        <v>65</v>
      </c>
      <c r="D6" t="inlineStr"/>
      <c r="E6" t="n">
        <v/>
      </c>
      <c r="F6" t="inlineStr"/>
    </row>
    <row r="7">
      <c r="A7" t="inlineStr">
        <is>
          <t>Renzzi On The Beach</t>
        </is>
      </c>
      <c r="B7" t="n">
        <v>79.5</v>
      </c>
      <c r="C7" t="n">
        <v>55</v>
      </c>
      <c r="D7" t="inlineStr">
        <is>
          <t>942 PENNSYLVANIA OWNER LLC</t>
        </is>
      </c>
      <c r="E7" t="n">
        <v/>
      </c>
      <c r="F7" t="inlineStr">
        <is>
          <t>Old Property</t>
        </is>
      </c>
    </row>
    <row r="8">
      <c r="A8" t="inlineStr">
        <is>
          <t>Kenmore Village Hotel</t>
        </is>
      </c>
      <c r="B8" t="n">
        <v>77.5</v>
      </c>
      <c r="C8" t="n">
        <v>65</v>
      </c>
      <c r="D8" t="inlineStr">
        <is>
          <t>WPH PROPERTIES LLC</t>
        </is>
      </c>
      <c r="E8" t="n">
        <v>5</v>
      </c>
      <c r="F8" t="inlineStr">
        <is>
          <t>Old Property</t>
        </is>
      </c>
    </row>
    <row r="9">
      <c r="A9" t="inlineStr">
        <is>
          <t>Cadillac Hotel &amp; Beach Club, Autograph Collection</t>
        </is>
      </c>
      <c r="B9" t="n">
        <v>75.5</v>
      </c>
      <c r="C9" t="n">
        <v>65</v>
      </c>
      <c r="D9" t="inlineStr"/>
      <c r="E9" t="n">
        <v/>
      </c>
      <c r="F9" t="inlineStr"/>
    </row>
    <row r="10">
      <c r="A10" t="inlineStr">
        <is>
          <t>Days Inn by Wyndham Miami Airport North</t>
        </is>
      </c>
      <c r="B10" t="n">
        <v>74.5</v>
      </c>
      <c r="C10" t="n">
        <v>65</v>
      </c>
      <c r="D10" t="inlineStr"/>
      <c r="E10" t="n">
        <v/>
      </c>
      <c r="F10" t="inlineStr"/>
    </row>
    <row r="11">
      <c r="A11" t="inlineStr">
        <is>
          <t>Hilton Miami Airport Blue Lagoon</t>
        </is>
      </c>
      <c r="B11" t="n">
        <v>74.5</v>
      </c>
      <c r="C11" t="n">
        <v>55</v>
      </c>
      <c r="D11" t="inlineStr"/>
      <c r="E11" t="n">
        <v/>
      </c>
      <c r="F11" t="inlineStr"/>
    </row>
    <row r="12">
      <c r="A12" t="inlineStr">
        <is>
          <t>Ramada by Wyndham Miami Springs/Miami International Airport</t>
        </is>
      </c>
      <c r="B12" t="n">
        <v>74.5</v>
      </c>
      <c r="C12" t="n">
        <v>65</v>
      </c>
      <c r="D12" t="inlineStr"/>
      <c r="E12" t="n">
        <v/>
      </c>
      <c r="F12" t="inlineStr"/>
    </row>
    <row r="13">
      <c r="A13" t="inlineStr">
        <is>
          <t>Secret Garden Miami Beach</t>
        </is>
      </c>
      <c r="B13" t="n">
        <v>72.5</v>
      </c>
      <c r="C13" t="n">
        <v>55</v>
      </c>
      <c r="D13" t="inlineStr"/>
      <c r="E13" t="n">
        <v/>
      </c>
      <c r="F13" t="inlineStr"/>
    </row>
    <row r="14">
      <c r="A14" t="inlineStr">
        <is>
          <t>Trésor Tower</t>
        </is>
      </c>
      <c r="B14" t="n">
        <v>72.5</v>
      </c>
      <c r="C14" t="n">
        <v>65</v>
      </c>
      <c r="D14" t="inlineStr"/>
      <c r="E14" t="n">
        <v/>
      </c>
      <c r="F14" t="inlineStr"/>
    </row>
    <row r="15">
      <c r="A15" t="inlineStr">
        <is>
          <t>Hyatt Centric South Beach Miami</t>
        </is>
      </c>
      <c r="B15" t="n">
        <v>71.5</v>
      </c>
      <c r="C15" t="n">
        <v>65</v>
      </c>
      <c r="D15" t="inlineStr"/>
      <c r="E15" t="n">
        <v/>
      </c>
      <c r="F15" t="inlineStr"/>
    </row>
    <row r="16">
      <c r="A16" t="inlineStr">
        <is>
          <t>Roami at The Carmela</t>
        </is>
      </c>
      <c r="B16" t="n">
        <v>70.40000000000001</v>
      </c>
      <c r="C16" t="n">
        <v>78</v>
      </c>
      <c r="D16" t="inlineStr"/>
      <c r="E16" t="n">
        <v/>
      </c>
      <c r="F16" t="inlineStr"/>
    </row>
  </sheetData>
  <autoFilter ref="A1:F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45" customWidth="1" min="2" max="2"/>
    <col width="18" customWidth="1" min="3" max="3"/>
    <col width="25" customWidth="1" min="4" max="4"/>
    <col width="15" customWidth="1" min="5" max="5"/>
    <col width="19" customWidth="1" min="6" max="6"/>
  </cols>
  <sheetData>
    <row r="1">
      <c r="A1" t="inlineStr">
        <is>
          <t>hotel_name</t>
        </is>
      </c>
      <c r="B1" t="inlineStr">
        <is>
          <t>owner_name</t>
        </is>
      </c>
      <c r="C1" t="inlineStr">
        <is>
          <t>ownership_since</t>
        </is>
      </c>
      <c r="D1" t="inlineStr">
        <is>
          <t>ownership_length_years</t>
        </is>
      </c>
      <c r="E1" t="inlineStr">
        <is>
          <t>property_age</t>
        </is>
      </c>
      <c r="F1" t="inlineStr">
        <is>
          <t>final_lead_score</t>
        </is>
      </c>
    </row>
    <row r="2">
      <c r="A2" t="inlineStr">
        <is>
          <t>The Kent Hotel</t>
        </is>
      </c>
      <c r="B2" t="inlineStr">
        <is>
          <t>1131 KENT LLC</t>
        </is>
      </c>
      <c r="C2" s="16" t="n">
        <v>38365</v>
      </c>
      <c r="D2" t="n">
        <v>21</v>
      </c>
      <c r="E2" t="n">
        <v>87</v>
      </c>
      <c r="F2" t="n">
        <v>61.6</v>
      </c>
    </row>
    <row r="3">
      <c r="A3" t="inlineStr">
        <is>
          <t>Viscay Hotel</t>
        </is>
      </c>
      <c r="B3" t="inlineStr">
        <is>
          <t>VISCAY LLC</t>
        </is>
      </c>
      <c r="C3" s="16" t="n">
        <v>40000</v>
      </c>
      <c r="D3" t="n">
        <v>17</v>
      </c>
      <c r="E3" t="n">
        <v>85</v>
      </c>
      <c r="F3" t="n">
        <v>58.6</v>
      </c>
    </row>
    <row r="4">
      <c r="A4" t="inlineStr">
        <is>
          <t>Miami International Apartments by Lowkl</t>
        </is>
      </c>
      <c r="B4" t="inlineStr">
        <is>
          <t>1051 COLLINS HOTEL LLC|DAN-BRAN REALTY LLC</t>
        </is>
      </c>
      <c r="C4" s="16" t="n">
        <v>41428</v>
      </c>
      <c r="D4" t="n">
        <v>13</v>
      </c>
      <c r="E4" t="n">
        <v>69</v>
      </c>
      <c r="F4" t="n">
        <v>55.6</v>
      </c>
    </row>
    <row r="5">
      <c r="A5" t="inlineStr">
        <is>
          <t>Casa Boutique Hotel</t>
        </is>
      </c>
      <c r="B5" t="inlineStr">
        <is>
          <t>WALDORF HOTEL LLC</t>
        </is>
      </c>
      <c r="C5" s="16" t="n">
        <v>42079</v>
      </c>
      <c r="D5" t="n">
        <v>11</v>
      </c>
      <c r="E5" t="n">
        <v>101</v>
      </c>
      <c r="F5" t="n">
        <v>93.5</v>
      </c>
    </row>
    <row r="6">
      <c r="A6" t="inlineStr">
        <is>
          <t>The Miami Beach</t>
        </is>
      </c>
      <c r="B6" t="inlineStr">
        <is>
          <t>BENEDETTO 2019 INC</t>
        </is>
      </c>
      <c r="C6" s="16" t="n">
        <v>42447</v>
      </c>
      <c r="D6" t="n">
        <v>10</v>
      </c>
      <c r="E6" t="n">
        <v>101</v>
      </c>
      <c r="F6" t="n">
        <v>93.5</v>
      </c>
    </row>
    <row r="7">
      <c r="A7" t="inlineStr">
        <is>
          <t>Kenmore Village Hotel</t>
        </is>
      </c>
      <c r="B7" t="inlineStr">
        <is>
          <t>WPH PROPERTIES LLC</t>
        </is>
      </c>
      <c r="C7" s="16" t="n">
        <v>44246</v>
      </c>
      <c r="D7" t="n">
        <v>5</v>
      </c>
      <c r="E7" t="n">
        <v>90</v>
      </c>
      <c r="F7" t="n">
        <v>77.5</v>
      </c>
    </row>
    <row r="8">
      <c r="A8" t="inlineStr">
        <is>
          <t>Fairwind Hotel Miami</t>
        </is>
      </c>
      <c r="B8" t="inlineStr">
        <is>
          <t>ITALPLAZA OF COLLINS LLC</t>
        </is>
      </c>
      <c r="C8" s="16" t="n">
        <v>45953</v>
      </c>
      <c r="D8" t="n">
        <v>1</v>
      </c>
      <c r="E8" t="n">
        <v>90</v>
      </c>
      <c r="F8" t="n">
        <v>52.5</v>
      </c>
    </row>
    <row r="9">
      <c r="A9" t="inlineStr">
        <is>
          <t>Best Western Plus Atlantic Beach Resort</t>
        </is>
      </c>
      <c r="B9" t="inlineStr"/>
      <c r="D9" t="n">
        <v/>
      </c>
      <c r="E9" t="n">
        <v/>
      </c>
      <c r="F9" t="n">
        <v>89.5</v>
      </c>
    </row>
    <row r="10">
      <c r="A10" t="inlineStr">
        <is>
          <t>Four Points by Sheraton Orlando International Drive</t>
        </is>
      </c>
      <c r="B10" t="inlineStr"/>
      <c r="D10" t="n">
        <v/>
      </c>
      <c r="E10" t="n">
        <v/>
      </c>
      <c r="F10" t="n">
        <v>83.5</v>
      </c>
    </row>
    <row r="11">
      <c r="A11" t="inlineStr">
        <is>
          <t>Clarion Inn &amp; Suites Miami International Airport</t>
        </is>
      </c>
      <c r="B11" t="inlineStr"/>
      <c r="D11" t="n">
        <v/>
      </c>
      <c r="E11" t="n">
        <v/>
      </c>
      <c r="F11" t="n">
        <v>80.5</v>
      </c>
    </row>
    <row r="12">
      <c r="A12" t="inlineStr">
        <is>
          <t>Renzzi On The Beach</t>
        </is>
      </c>
      <c r="B12" t="inlineStr">
        <is>
          <t>942 PENNSYLVANIA OWNER LLC</t>
        </is>
      </c>
      <c r="D12" t="n">
        <v/>
      </c>
      <c r="E12" t="n">
        <v>101</v>
      </c>
      <c r="F12" t="n">
        <v>79.5</v>
      </c>
    </row>
    <row r="13">
      <c r="A13" t="inlineStr">
        <is>
          <t>Cadillac Hotel &amp; Beach Club, Autograph Collection</t>
        </is>
      </c>
      <c r="B13" t="inlineStr"/>
      <c r="D13" t="n">
        <v/>
      </c>
      <c r="E13" t="n">
        <v/>
      </c>
      <c r="F13" t="n">
        <v>75.5</v>
      </c>
    </row>
    <row r="14">
      <c r="A14" t="inlineStr">
        <is>
          <t>Days Inn by Wyndham Miami Airport North</t>
        </is>
      </c>
      <c r="B14" t="inlineStr"/>
      <c r="D14" t="n">
        <v/>
      </c>
      <c r="E14" t="n">
        <v/>
      </c>
      <c r="F14" t="n">
        <v>74.5</v>
      </c>
    </row>
    <row r="15">
      <c r="A15" t="inlineStr">
        <is>
          <t>Hilton Miami Airport Blue Lagoon</t>
        </is>
      </c>
      <c r="B15" t="inlineStr"/>
      <c r="D15" t="n">
        <v/>
      </c>
      <c r="E15" t="n">
        <v/>
      </c>
      <c r="F15" t="n">
        <v>74.5</v>
      </c>
    </row>
    <row r="16">
      <c r="A16" t="inlineStr">
        <is>
          <t>Ramada by Wyndham Miami Springs/Miami International Airport</t>
        </is>
      </c>
      <c r="B16" t="inlineStr"/>
      <c r="D16" t="n">
        <v/>
      </c>
      <c r="E16" t="n">
        <v/>
      </c>
      <c r="F16" t="n">
        <v>74.5</v>
      </c>
    </row>
    <row r="17">
      <c r="A17" t="inlineStr">
        <is>
          <t>Secret Garden Miami Beach</t>
        </is>
      </c>
      <c r="B17" t="inlineStr"/>
      <c r="D17" t="n">
        <v/>
      </c>
      <c r="E17" t="n">
        <v/>
      </c>
      <c r="F17" t="n">
        <v>72.5</v>
      </c>
    </row>
    <row r="18">
      <c r="A18" t="inlineStr">
        <is>
          <t>Trésor Tower</t>
        </is>
      </c>
      <c r="B18" t="inlineStr"/>
      <c r="D18" t="n">
        <v/>
      </c>
      <c r="E18" t="n">
        <v/>
      </c>
      <c r="F18" t="n">
        <v>72.5</v>
      </c>
    </row>
    <row r="19">
      <c r="A19" t="inlineStr">
        <is>
          <t>Hyatt Centric South Beach Miami</t>
        </is>
      </c>
      <c r="B19" t="inlineStr"/>
      <c r="D19" t="n">
        <v/>
      </c>
      <c r="E19" t="n">
        <v/>
      </c>
      <c r="F19" t="n">
        <v>71.5</v>
      </c>
    </row>
    <row r="20">
      <c r="A20" t="inlineStr">
        <is>
          <t>Roami at The Carmela</t>
        </is>
      </c>
      <c r="B20" t="inlineStr"/>
      <c r="D20" t="n">
        <v/>
      </c>
      <c r="E20" t="n">
        <v/>
      </c>
      <c r="F20" t="n">
        <v>70.40000000000001</v>
      </c>
    </row>
    <row r="21">
      <c r="A21" t="inlineStr">
        <is>
          <t>Miami International Airport Hotel</t>
        </is>
      </c>
      <c r="B21" t="inlineStr"/>
      <c r="D21" t="n">
        <v/>
      </c>
      <c r="E21" t="n">
        <v/>
      </c>
      <c r="F21" t="n">
        <v>69.5</v>
      </c>
    </row>
    <row r="22">
      <c r="A22" t="inlineStr">
        <is>
          <t>Casa Marina Key West, Curio Collection by Hilton</t>
        </is>
      </c>
      <c r="B22" t="inlineStr"/>
      <c r="D22" t="n">
        <v/>
      </c>
      <c r="E22" t="n">
        <v/>
      </c>
      <c r="F22" t="n">
        <v>68.5</v>
      </c>
    </row>
    <row r="23">
      <c r="A23" t="inlineStr">
        <is>
          <t>Notebook Hotel</t>
        </is>
      </c>
      <c r="B23" t="inlineStr"/>
      <c r="D23" t="n">
        <v/>
      </c>
      <c r="E23" t="n">
        <v/>
      </c>
      <c r="F23" t="n">
        <v>68.5</v>
      </c>
    </row>
    <row r="24">
      <c r="A24" t="inlineStr">
        <is>
          <t>Sleep Inn Miami Airport</t>
        </is>
      </c>
      <c r="B24" t="inlineStr"/>
      <c r="D24" t="n">
        <v/>
      </c>
      <c r="E24" t="n">
        <v/>
      </c>
      <c r="F24" t="n">
        <v>68.5</v>
      </c>
    </row>
    <row r="25">
      <c r="A25" t="inlineStr">
        <is>
          <t>West Palm Beach Marriott</t>
        </is>
      </c>
      <c r="B25" t="inlineStr"/>
      <c r="D25" t="n">
        <v/>
      </c>
      <c r="E25" t="n">
        <v/>
      </c>
      <c r="F25" t="n">
        <v>68.5</v>
      </c>
    </row>
    <row r="26">
      <c r="A26" t="inlineStr">
        <is>
          <t>James Hotel</t>
        </is>
      </c>
      <c r="B26" t="inlineStr"/>
      <c r="D26" t="n">
        <v/>
      </c>
      <c r="E26" t="n">
        <v/>
      </c>
      <c r="F26" t="n">
        <v>66.5</v>
      </c>
    </row>
    <row r="27">
      <c r="A27" t="inlineStr">
        <is>
          <t>lowes hotel</t>
        </is>
      </c>
      <c r="B27" t="inlineStr"/>
      <c r="D27" t="n">
        <v/>
      </c>
      <c r="E27" t="n">
        <v/>
      </c>
      <c r="F27" t="n">
        <v>63.5</v>
      </c>
    </row>
    <row r="28">
      <c r="A28" t="inlineStr">
        <is>
          <t>La Mare Hotel and Residence</t>
        </is>
      </c>
      <c r="B28" t="inlineStr"/>
      <c r="D28" t="n">
        <v/>
      </c>
      <c r="E28" t="n">
        <v/>
      </c>
      <c r="F28" t="n">
        <v>63.5</v>
      </c>
    </row>
    <row r="29">
      <c r="A29" t="inlineStr">
        <is>
          <t>Lambert Inn</t>
        </is>
      </c>
      <c r="B29" t="inlineStr"/>
      <c r="D29" t="n">
        <v/>
      </c>
      <c r="E29" t="n">
        <v/>
      </c>
      <c r="F29" t="n">
        <v>63.5</v>
      </c>
    </row>
    <row r="30">
      <c r="A30" t="inlineStr">
        <is>
          <t>Motel 6 Orlando, FL - International Dr</t>
        </is>
      </c>
      <c r="B30" t="inlineStr"/>
      <c r="D30" t="n">
        <v/>
      </c>
      <c r="E30" t="n">
        <v/>
      </c>
      <c r="F30" t="n">
        <v>61.5</v>
      </c>
    </row>
    <row r="31">
      <c r="A31" t="inlineStr">
        <is>
          <t>Sorrento Tower</t>
        </is>
      </c>
      <c r="B31" t="inlineStr"/>
      <c r="D31" t="n">
        <v/>
      </c>
      <c r="E31" t="n">
        <v/>
      </c>
      <c r="F31" t="n">
        <v>60.5</v>
      </c>
    </row>
    <row r="32">
      <c r="A32" t="inlineStr">
        <is>
          <t>Dua Miami, Autograph Collection</t>
        </is>
      </c>
      <c r="B32" t="inlineStr"/>
      <c r="D32" t="n">
        <v/>
      </c>
      <c r="E32" t="n">
        <v/>
      </c>
      <c r="F32" t="n">
        <v>60.5</v>
      </c>
    </row>
    <row r="33">
      <c r="A33" t="inlineStr">
        <is>
          <t>Tru by Hilton Miami Airport South Blue Lagoon</t>
        </is>
      </c>
      <c r="B33" t="inlineStr"/>
      <c r="D33" t="n">
        <v/>
      </c>
      <c r="E33" t="n">
        <v/>
      </c>
      <c r="F33" t="n">
        <v>60.4</v>
      </c>
    </row>
    <row r="34">
      <c r="A34" t="inlineStr">
        <is>
          <t>Extended Stay America Premier Suites- Miami - Airport - Miami Springs</t>
        </is>
      </c>
      <c r="B34" t="inlineStr"/>
      <c r="D34" t="n">
        <v/>
      </c>
      <c r="E34" t="n">
        <v/>
      </c>
      <c r="F34" t="n">
        <v>59.5</v>
      </c>
    </row>
    <row r="35">
      <c r="A35" t="inlineStr">
        <is>
          <t>Leamington Hotel</t>
        </is>
      </c>
      <c r="B35" t="inlineStr"/>
      <c r="D35" t="n">
        <v/>
      </c>
      <c r="E35" t="n">
        <v/>
      </c>
      <c r="F35" t="n">
        <v>59.5</v>
      </c>
    </row>
    <row r="36">
      <c r="A36" t="inlineStr">
        <is>
          <t>Lexington by Hotel RL Miami Beach</t>
        </is>
      </c>
      <c r="B36" t="inlineStr"/>
      <c r="D36" t="n">
        <v/>
      </c>
      <c r="E36" t="n">
        <v/>
      </c>
      <c r="F36" t="n">
        <v>58.6</v>
      </c>
    </row>
    <row r="37">
      <c r="A37" t="inlineStr">
        <is>
          <t>Super 8 by Wyndham Orlando International Drive</t>
        </is>
      </c>
      <c r="B37" t="inlineStr"/>
      <c r="D37" t="n">
        <v/>
      </c>
      <c r="E37" t="n">
        <v/>
      </c>
      <c r="F37" t="n">
        <v>56.5</v>
      </c>
    </row>
    <row r="38">
      <c r="A38" t="inlineStr">
        <is>
          <t>Flamingo Inn</t>
        </is>
      </c>
      <c r="B38" t="inlineStr"/>
      <c r="D38" t="n">
        <v/>
      </c>
      <c r="E38" t="n">
        <v/>
      </c>
      <c r="F38" t="n">
        <v>56.5</v>
      </c>
    </row>
    <row r="39">
      <c r="A39" t="inlineStr">
        <is>
          <t>Crest Hotel Suites</t>
        </is>
      </c>
      <c r="B39" t="inlineStr"/>
      <c r="D39" t="n">
        <v/>
      </c>
      <c r="E39" t="n">
        <v/>
      </c>
      <c r="F39" t="n">
        <v>55.6</v>
      </c>
    </row>
    <row r="40">
      <c r="A40" t="inlineStr">
        <is>
          <t>Element by Marriott Fort Lauderdale Downtown</t>
        </is>
      </c>
      <c r="B40" t="inlineStr"/>
      <c r="D40" t="n">
        <v/>
      </c>
      <c r="E40" t="n">
        <v/>
      </c>
      <c r="F40" t="n">
        <v>55.5</v>
      </c>
    </row>
    <row r="41">
      <c r="A41" t="inlineStr">
        <is>
          <t>Kapp and Kappy B&amp;B</t>
        </is>
      </c>
      <c r="B41" t="inlineStr"/>
      <c r="D41" t="n">
        <v/>
      </c>
      <c r="E41" t="n">
        <v/>
      </c>
      <c r="F41" t="n">
        <v>53.5</v>
      </c>
    </row>
    <row r="42">
      <c r="A42" t="inlineStr">
        <is>
          <t>Fontainebleau Miami Beach Private Suites</t>
        </is>
      </c>
      <c r="B42" t="inlineStr"/>
      <c r="D42" t="n">
        <v/>
      </c>
      <c r="E42" t="n">
        <v/>
      </c>
      <c r="F42" t="n">
        <v>53.5</v>
      </c>
    </row>
    <row r="43">
      <c r="A43" t="inlineStr">
        <is>
          <t>Hotel Evernia</t>
        </is>
      </c>
      <c r="B43" t="inlineStr"/>
      <c r="D43" t="n">
        <v/>
      </c>
      <c r="E43" t="n">
        <v/>
      </c>
      <c r="F43" t="n">
        <v>53.5</v>
      </c>
    </row>
    <row r="44">
      <c r="A44" t="inlineStr">
        <is>
          <t>Casa Marina</t>
        </is>
      </c>
      <c r="B44" t="inlineStr"/>
      <c r="D44" t="n">
        <v/>
      </c>
      <c r="E44" t="n">
        <v/>
      </c>
      <c r="F44" t="n">
        <v>53.5</v>
      </c>
    </row>
    <row r="45">
      <c r="A45" t="inlineStr">
        <is>
          <t>Holiday Inn Miami Beach-Oceanfront by IHG</t>
        </is>
      </c>
      <c r="B45" t="inlineStr"/>
      <c r="D45" t="n">
        <v/>
      </c>
      <c r="E45" t="n">
        <v/>
      </c>
      <c r="F45" t="n">
        <v>50.4</v>
      </c>
    </row>
    <row r="46">
      <c r="A46" t="inlineStr">
        <is>
          <t>The Lofts On Clematis | Stay West Palm</t>
        </is>
      </c>
      <c r="B46" t="inlineStr"/>
      <c r="D46" t="n">
        <v/>
      </c>
      <c r="E46" t="n">
        <v/>
      </c>
      <c r="F46" t="n">
        <v>47.5</v>
      </c>
    </row>
    <row r="47">
      <c r="A47" t="inlineStr">
        <is>
          <t>Comfort Suites Miami Airport North</t>
        </is>
      </c>
      <c r="B47" t="inlineStr"/>
      <c r="D47" t="n">
        <v/>
      </c>
      <c r="E47" t="n">
        <v/>
      </c>
      <c r="F47" t="n">
        <v>46.6</v>
      </c>
    </row>
    <row r="48">
      <c r="A48" t="inlineStr">
        <is>
          <t>JW Marriott Marquis Miami</t>
        </is>
      </c>
      <c r="B48" t="inlineStr"/>
      <c r="D48" t="n">
        <v/>
      </c>
      <c r="E48" t="n">
        <v/>
      </c>
      <c r="F48" t="n">
        <v>45</v>
      </c>
    </row>
    <row r="49">
      <c r="A49" t="inlineStr">
        <is>
          <t>Hotel Continental Miami Beach, Tapestry Collection by Hilton</t>
        </is>
      </c>
      <c r="B49" t="inlineStr"/>
      <c r="D49" t="n">
        <v/>
      </c>
      <c r="E49" t="n">
        <v/>
      </c>
      <c r="F49" t="n">
        <v>45</v>
      </c>
    </row>
    <row r="50">
      <c r="A50" t="inlineStr">
        <is>
          <t>Henry's Piece Of Paradise</t>
        </is>
      </c>
      <c r="B50" t="inlineStr"/>
      <c r="D50" t="n">
        <v/>
      </c>
      <c r="E50" t="n">
        <v/>
      </c>
      <c r="F50" t="n">
        <v>44.5</v>
      </c>
    </row>
    <row r="51">
      <c r="A51" t="inlineStr">
        <is>
          <t>Cambria Hotel Orlando Universal Blvd</t>
        </is>
      </c>
      <c r="B51" t="inlineStr"/>
      <c r="D51" t="n">
        <v/>
      </c>
      <c r="E51" t="n">
        <v/>
      </c>
      <c r="F51" t="n">
        <v>44.5</v>
      </c>
    </row>
    <row r="52">
      <c r="A52" t="inlineStr">
        <is>
          <t>Hotel Beaux Arts, Autograph Collection</t>
        </is>
      </c>
      <c r="B52" t="inlineStr"/>
      <c r="D52" t="n">
        <v/>
      </c>
      <c r="E52" t="n">
        <v/>
      </c>
      <c r="F52" t="n">
        <v>44.5</v>
      </c>
    </row>
    <row r="53">
      <c r="A53" t="inlineStr">
        <is>
          <t>Miami Downtown Vacation Suites</t>
        </is>
      </c>
      <c r="B53" t="inlineStr"/>
      <c r="D53" t="n">
        <v/>
      </c>
      <c r="E53" t="n">
        <v/>
      </c>
      <c r="F53" t="n">
        <v>44.5</v>
      </c>
    </row>
    <row r="54">
      <c r="A54" t="inlineStr">
        <is>
          <t>YVE Hotel Miami</t>
        </is>
      </c>
      <c r="B54" t="inlineStr"/>
      <c r="D54" t="n">
        <v/>
      </c>
      <c r="E54" t="n">
        <v/>
      </c>
      <c r="F54" t="n">
        <v>44.5</v>
      </c>
    </row>
    <row r="55">
      <c r="A55" t="inlineStr">
        <is>
          <t>Comfort Inn &amp; Suites Downtown Brickell-Port of Miami</t>
        </is>
      </c>
      <c r="B55" t="inlineStr"/>
      <c r="D55" t="n">
        <v/>
      </c>
      <c r="E55" t="n">
        <v/>
      </c>
      <c r="F55" t="n">
        <v>44.4</v>
      </c>
    </row>
    <row r="56">
      <c r="A56" t="inlineStr">
        <is>
          <t>Dream South Beach, by Hyatt</t>
        </is>
      </c>
      <c r="B56" t="inlineStr"/>
      <c r="D56" t="n">
        <v/>
      </c>
      <c r="E56" t="n">
        <v/>
      </c>
      <c r="F56" t="n">
        <v>43.5</v>
      </c>
    </row>
    <row r="57">
      <c r="A57" t="inlineStr">
        <is>
          <t>The Marlin Hotel</t>
        </is>
      </c>
      <c r="B57" t="inlineStr"/>
      <c r="D57" t="n">
        <v/>
      </c>
      <c r="E57" t="n">
        <v>87</v>
      </c>
      <c r="F57" t="n">
        <v>42.6</v>
      </c>
    </row>
    <row r="58">
      <c r="A58" t="inlineStr">
        <is>
          <t>SureStay Plus By Best Western Orlando International Drive</t>
        </is>
      </c>
      <c r="B58" t="inlineStr"/>
      <c r="D58" t="n">
        <v/>
      </c>
      <c r="E58" t="n">
        <v/>
      </c>
      <c r="F58" t="n">
        <v>42.4</v>
      </c>
    </row>
    <row r="59">
      <c r="A59" t="inlineStr">
        <is>
          <t>Fairfield by Marriott Inn &amp; Suites Key West</t>
        </is>
      </c>
      <c r="B59" t="inlineStr"/>
      <c r="D59" t="n">
        <v/>
      </c>
      <c r="E59" t="n">
        <v/>
      </c>
      <c r="F59" t="n">
        <v>41.4</v>
      </c>
    </row>
    <row r="60">
      <c r="A60" t="inlineStr">
        <is>
          <t>Universal Endless Summer Resort – Surfside Inn and Suites</t>
        </is>
      </c>
      <c r="B60" t="inlineStr"/>
      <c r="D60" t="n">
        <v/>
      </c>
      <c r="E60" t="n">
        <v/>
      </c>
      <c r="F60" t="n">
        <v>40.6</v>
      </c>
    </row>
    <row r="61">
      <c r="A61" t="inlineStr">
        <is>
          <t>Albion Hotel</t>
        </is>
      </c>
      <c r="B61" t="inlineStr"/>
      <c r="D61" t="n">
        <v/>
      </c>
      <c r="E61" t="n">
        <v/>
      </c>
      <c r="F61" t="n">
        <v>40</v>
      </c>
    </row>
    <row r="62">
      <c r="A62" t="inlineStr">
        <is>
          <t>Andaz Miami Beach Resort &amp; Spa</t>
        </is>
      </c>
      <c r="B62" t="inlineStr"/>
      <c r="D62" t="n">
        <v/>
      </c>
      <c r="E62" t="n">
        <v/>
      </c>
      <c r="F62" t="n">
        <v>40</v>
      </c>
    </row>
    <row r="63">
      <c r="A63" t="inlineStr">
        <is>
          <t>Brickell Arch, a Luxury Collection Hotel, Miami</t>
        </is>
      </c>
      <c r="B63" t="inlineStr"/>
      <c r="D63" t="n">
        <v/>
      </c>
      <c r="E63" t="n">
        <v/>
      </c>
      <c r="F63" t="n">
        <v>40</v>
      </c>
    </row>
  </sheetData>
  <autoFilter ref="A1:F6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17" customWidth="1" min="3" max="3"/>
    <col width="18" customWidth="1" min="4" max="4"/>
    <col width="25" customWidth="1" min="5" max="5"/>
  </cols>
  <sheetData>
    <row r="1">
      <c r="A1" t="inlineStr">
        <is>
          <t>hotel_name</t>
        </is>
      </c>
      <c r="B1" t="inlineStr">
        <is>
          <t>final_lead_score</t>
        </is>
      </c>
      <c r="C1" t="inlineStr">
        <is>
          <t>cmbs_watchlist</t>
        </is>
      </c>
      <c r="D1" t="inlineStr">
        <is>
          <t>cmbs_delinquent</t>
        </is>
      </c>
      <c r="E1" t="inlineStr">
        <is>
          <t>cmbs_special_servicing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33" customWidth="1" min="2" max="2"/>
    <col width="23" customWidth="1" min="3" max="3"/>
    <col width="29" customWidth="1" min="4" max="4"/>
    <col width="19" customWidth="1" min="5" max="5"/>
  </cols>
  <sheetData>
    <row r="1">
      <c r="A1" t="inlineStr">
        <is>
          <t>hotel_name</t>
        </is>
      </c>
      <c r="B1" t="inlineStr">
        <is>
          <t>signals_fired</t>
        </is>
      </c>
      <c r="C1" t="inlineStr">
        <is>
          <t>distress_probability</t>
        </is>
      </c>
      <c r="D1" t="inlineStr">
        <is>
          <t>seller_fatigue_probability</t>
        </is>
      </c>
      <c r="E1" t="inlineStr">
        <is>
          <t>final_lead_score</t>
        </is>
      </c>
    </row>
    <row r="2">
      <c r="A2" t="inlineStr">
        <is>
          <t>Casa Boutique Hotel</t>
        </is>
      </c>
      <c r="B2" t="inlineStr">
        <is>
          <t>Long-Term Owner | Old Property</t>
        </is>
      </c>
      <c r="C2" t="n">
        <v>0.75</v>
      </c>
      <c r="D2" t="n">
        <v>0.7</v>
      </c>
      <c r="E2" t="n">
        <v>93.5</v>
      </c>
    </row>
    <row r="3">
      <c r="A3" t="inlineStr">
        <is>
          <t>The Miami Beach</t>
        </is>
      </c>
      <c r="B3" t="inlineStr">
        <is>
          <t>Long-Term Owner | Old Property</t>
        </is>
      </c>
      <c r="C3" t="n">
        <v>0.75</v>
      </c>
      <c r="D3" t="n">
        <v>0.7</v>
      </c>
      <c r="E3" t="n">
        <v>93.5</v>
      </c>
    </row>
    <row r="4">
      <c r="A4" t="inlineStr">
        <is>
          <t>Best Western Plus Atlantic Beach Resort</t>
        </is>
      </c>
      <c r="B4" t="inlineStr"/>
      <c r="C4" t="n">
        <v>0.75</v>
      </c>
      <c r="D4" t="n">
        <v>0.4</v>
      </c>
      <c r="E4" t="n">
        <v>89.5</v>
      </c>
    </row>
    <row r="5">
      <c r="A5" t="inlineStr">
        <is>
          <t>Four Points by Sheraton Orlando International Drive</t>
        </is>
      </c>
      <c r="B5" t="inlineStr"/>
      <c r="C5" t="n">
        <v>0.75</v>
      </c>
      <c r="D5" t="n">
        <v>0.35</v>
      </c>
      <c r="E5" t="n">
        <v>83.5</v>
      </c>
    </row>
    <row r="6">
      <c r="A6" t="inlineStr">
        <is>
          <t>Clarion Inn &amp; Suites Miami International Airport</t>
        </is>
      </c>
      <c r="B6" t="inlineStr"/>
      <c r="C6" t="n">
        <v>0.75</v>
      </c>
      <c r="D6" t="n">
        <v>0.3</v>
      </c>
      <c r="E6" t="n">
        <v>80.5</v>
      </c>
    </row>
    <row r="7">
      <c r="A7" t="inlineStr">
        <is>
          <t>Renzzi On The Beach</t>
        </is>
      </c>
      <c r="B7" t="inlineStr">
        <is>
          <t>Old Property</t>
        </is>
      </c>
      <c r="C7" t="n">
        <v>0.85</v>
      </c>
      <c r="D7" t="n">
        <v>0.7</v>
      </c>
      <c r="E7" t="n">
        <v>79.5</v>
      </c>
    </row>
    <row r="8">
      <c r="A8" t="inlineStr">
        <is>
          <t>Kenmore Village Hotel</t>
        </is>
      </c>
      <c r="B8" t="inlineStr">
        <is>
          <t>Old Property</t>
        </is>
      </c>
      <c r="C8" t="n">
        <v>0.75</v>
      </c>
      <c r="D8" t="n">
        <v>0.3</v>
      </c>
      <c r="E8" t="n">
        <v>77.5</v>
      </c>
    </row>
    <row r="9">
      <c r="A9" t="inlineStr">
        <is>
          <t>Cadillac Hotel &amp; Beach Club, Autograph Collection</t>
        </is>
      </c>
      <c r="B9" t="inlineStr"/>
      <c r="C9" t="n">
        <v>0.75</v>
      </c>
      <c r="D9" t="n">
        <v>0.4</v>
      </c>
      <c r="E9" t="n">
        <v>75.5</v>
      </c>
    </row>
    <row r="10">
      <c r="A10" t="inlineStr">
        <is>
          <t>Days Inn by Wyndham Miami Airport North</t>
        </is>
      </c>
      <c r="B10" t="inlineStr"/>
      <c r="C10" t="n">
        <v>0.85</v>
      </c>
      <c r="D10" t="n">
        <v>0.4</v>
      </c>
      <c r="E10" t="n">
        <v>74.5</v>
      </c>
    </row>
    <row r="11">
      <c r="A11" t="inlineStr">
        <is>
          <t>Hilton Miami Airport Blue Lagoon</t>
        </is>
      </c>
      <c r="B11" t="inlineStr"/>
      <c r="C11" t="n">
        <v>0.65</v>
      </c>
      <c r="D11" t="n">
        <v>0.3</v>
      </c>
      <c r="E11" t="n">
        <v>74.5</v>
      </c>
    </row>
    <row r="12">
      <c r="A12" t="inlineStr">
        <is>
          <t>Ramada by Wyndham Miami Springs/Miami International Airport</t>
        </is>
      </c>
      <c r="B12" t="inlineStr"/>
      <c r="C12" t="n">
        <v>0.75</v>
      </c>
      <c r="D12" t="n">
        <v>0.3</v>
      </c>
      <c r="E12" t="n">
        <v>74.5</v>
      </c>
    </row>
    <row r="13">
      <c r="A13" t="inlineStr">
        <is>
          <t>Secret Garden Miami Beach</t>
        </is>
      </c>
      <c r="B13" t="inlineStr"/>
      <c r="C13" t="n">
        <v>0.75</v>
      </c>
      <c r="D13" t="n">
        <v>0.3</v>
      </c>
      <c r="E13" t="n">
        <v>72.5</v>
      </c>
    </row>
    <row r="14">
      <c r="A14" t="inlineStr">
        <is>
          <t>Trésor Tower</t>
        </is>
      </c>
      <c r="B14" t="inlineStr"/>
      <c r="C14" t="n">
        <v>0.75</v>
      </c>
      <c r="D14" t="n">
        <v>0.3</v>
      </c>
      <c r="E14" t="n">
        <v>72.5</v>
      </c>
    </row>
    <row r="15">
      <c r="A15" t="inlineStr">
        <is>
          <t>Hyatt Centric South Beach Miami</t>
        </is>
      </c>
      <c r="B15" t="inlineStr"/>
      <c r="C15" t="n">
        <v>0.75</v>
      </c>
      <c r="D15" t="n">
        <v>0.3</v>
      </c>
      <c r="E15" t="n">
        <v>71.5</v>
      </c>
    </row>
    <row r="16">
      <c r="A16" t="inlineStr">
        <is>
          <t>Roami at The Carmela</t>
        </is>
      </c>
      <c r="B16" t="inlineStr"/>
      <c r="C16" t="n">
        <v>0.95</v>
      </c>
      <c r="D16" t="n">
        <v>0.3</v>
      </c>
      <c r="E16" t="n">
        <v>70.40000000000001</v>
      </c>
    </row>
    <row r="17">
      <c r="A17" t="inlineStr">
        <is>
          <t>Miami International Airport Hotel</t>
        </is>
      </c>
      <c r="B17" t="inlineStr"/>
      <c r="C17" t="n">
        <v>0.85</v>
      </c>
      <c r="D17" t="n">
        <v>0.3</v>
      </c>
      <c r="E17" t="n">
        <v>69.5</v>
      </c>
    </row>
    <row r="18">
      <c r="A18" t="inlineStr">
        <is>
          <t>Casa Marina Key West, Curio Collection by Hilton</t>
        </is>
      </c>
      <c r="B18" t="inlineStr"/>
      <c r="C18" t="n">
        <v>0.75</v>
      </c>
      <c r="D18" t="n">
        <v>0.3</v>
      </c>
      <c r="E18" t="n">
        <v>68.5</v>
      </c>
    </row>
    <row r="19">
      <c r="A19" t="inlineStr">
        <is>
          <t>Notebook Hotel</t>
        </is>
      </c>
      <c r="B19" t="inlineStr"/>
      <c r="C19" t="n">
        <v>0.85</v>
      </c>
      <c r="D19" t="n">
        <v>0.3</v>
      </c>
      <c r="E19" t="n">
        <v>68.5</v>
      </c>
    </row>
    <row r="20">
      <c r="A20" t="inlineStr">
        <is>
          <t>Sleep Inn Miami Airport</t>
        </is>
      </c>
      <c r="B20" t="inlineStr"/>
      <c r="C20" t="n">
        <v>0.75</v>
      </c>
      <c r="D20" t="n">
        <v>0.3</v>
      </c>
      <c r="E20" t="n">
        <v>68.5</v>
      </c>
    </row>
    <row r="21">
      <c r="A21" t="inlineStr">
        <is>
          <t>West Palm Beach Marriott</t>
        </is>
      </c>
      <c r="B21" t="inlineStr"/>
      <c r="C21" t="n">
        <v>0.75</v>
      </c>
      <c r="D21" t="n">
        <v>0.4</v>
      </c>
      <c r="E21" t="n">
        <v>68.5</v>
      </c>
    </row>
    <row r="22">
      <c r="A22" t="inlineStr">
        <is>
          <t>James Hotel</t>
        </is>
      </c>
      <c r="B22" t="inlineStr"/>
      <c r="C22" t="n">
        <v>0.85</v>
      </c>
      <c r="D22" t="n">
        <v>0.3</v>
      </c>
      <c r="E22" t="n">
        <v>66.5</v>
      </c>
    </row>
    <row r="23">
      <c r="A23" t="inlineStr">
        <is>
          <t>lowes hotel</t>
        </is>
      </c>
      <c r="B23" t="inlineStr"/>
      <c r="C23" t="n">
        <v>0.85</v>
      </c>
      <c r="D23" t="n">
        <v>0.3</v>
      </c>
      <c r="E23" t="n">
        <v>63.5</v>
      </c>
    </row>
    <row r="24">
      <c r="A24" t="inlineStr">
        <is>
          <t>La Mare Hotel and Residence</t>
        </is>
      </c>
      <c r="B24" t="inlineStr"/>
      <c r="C24" t="n">
        <v>0.75</v>
      </c>
      <c r="D24" t="n">
        <v>0.3</v>
      </c>
      <c r="E24" t="n">
        <v>63.5</v>
      </c>
    </row>
    <row r="25">
      <c r="A25" t="inlineStr">
        <is>
          <t>Lambert Inn</t>
        </is>
      </c>
      <c r="B25" t="inlineStr"/>
      <c r="C25" t="n">
        <v>0.75</v>
      </c>
      <c r="D25" t="n">
        <v>0.3</v>
      </c>
      <c r="E25" t="n">
        <v>63.5</v>
      </c>
    </row>
    <row r="26">
      <c r="A26" t="inlineStr">
        <is>
          <t>The Kent Hotel</t>
        </is>
      </c>
      <c r="B26" t="inlineStr">
        <is>
          <t>Long-Term Owner | Old Property</t>
        </is>
      </c>
      <c r="C26" t="n">
        <v>0.65</v>
      </c>
      <c r="D26" t="n">
        <v>0.7</v>
      </c>
      <c r="E26" t="n">
        <v>61.6</v>
      </c>
    </row>
    <row r="27">
      <c r="A27" t="inlineStr">
        <is>
          <t>Motel 6 Orlando, FL - International Dr</t>
        </is>
      </c>
      <c r="B27" t="inlineStr"/>
      <c r="C27" t="n">
        <v>0.75</v>
      </c>
      <c r="D27" t="n">
        <v>0.3</v>
      </c>
      <c r="E27" t="n">
        <v>61.5</v>
      </c>
    </row>
    <row r="28">
      <c r="A28" t="inlineStr">
        <is>
          <t>Sorrento Tower</t>
        </is>
      </c>
      <c r="B28" t="inlineStr"/>
      <c r="C28" t="n">
        <v>0.75</v>
      </c>
      <c r="D28" t="n">
        <v>0.3</v>
      </c>
      <c r="E28" t="n">
        <v>60.5</v>
      </c>
    </row>
    <row r="29">
      <c r="A29" t="inlineStr">
        <is>
          <t>Dua Miami, Autograph Collection</t>
        </is>
      </c>
      <c r="B29" t="inlineStr"/>
      <c r="C29" t="n">
        <v>0.75</v>
      </c>
      <c r="D29" t="n">
        <v>0.3</v>
      </c>
      <c r="E29" t="n">
        <v>60.5</v>
      </c>
    </row>
    <row r="30">
      <c r="A30" t="inlineStr">
        <is>
          <t>Tru by Hilton Miami Airport South Blue Lagoon</t>
        </is>
      </c>
      <c r="B30" t="inlineStr"/>
      <c r="C30" t="n">
        <v>0.65</v>
      </c>
      <c r="D30" t="n">
        <v>0.3</v>
      </c>
      <c r="E30" t="n">
        <v>60.4</v>
      </c>
    </row>
    <row r="31">
      <c r="A31" t="inlineStr">
        <is>
          <t>Extended Stay America Premier Suites- Miami - Airport - Miami Springs</t>
        </is>
      </c>
      <c r="B31" t="inlineStr"/>
      <c r="C31" t="n">
        <v>0.75</v>
      </c>
      <c r="D31" t="n">
        <v>0.3</v>
      </c>
      <c r="E31" t="n">
        <v>59.5</v>
      </c>
    </row>
    <row r="32">
      <c r="A32" t="inlineStr">
        <is>
          <t>Leamington Hotel</t>
        </is>
      </c>
      <c r="B32" t="inlineStr"/>
      <c r="C32" t="n">
        <v>0.85</v>
      </c>
      <c r="D32" t="n">
        <v>0.3</v>
      </c>
      <c r="E32" t="n">
        <v>59.5</v>
      </c>
    </row>
    <row r="33">
      <c r="A33" t="inlineStr">
        <is>
          <t>Lexington by Hotel RL Miami Beach</t>
        </is>
      </c>
      <c r="B33" t="inlineStr"/>
      <c r="C33" t="n">
        <v>0.85</v>
      </c>
      <c r="D33" t="n">
        <v>0.6</v>
      </c>
      <c r="E33" t="n">
        <v>58.6</v>
      </c>
    </row>
    <row r="34">
      <c r="A34" t="inlineStr">
        <is>
          <t>Viscay Hotel</t>
        </is>
      </c>
      <c r="B34" t="inlineStr">
        <is>
          <t>Long-Term Owner | Old Property</t>
        </is>
      </c>
      <c r="C34" t="n">
        <v>0.65</v>
      </c>
      <c r="D34" t="n">
        <v>0.7</v>
      </c>
      <c r="E34" t="n">
        <v>58.6</v>
      </c>
    </row>
    <row r="35">
      <c r="A35" t="inlineStr">
        <is>
          <t>Super 8 by Wyndham Orlando International Drive</t>
        </is>
      </c>
      <c r="B35" t="inlineStr"/>
      <c r="C35" t="n">
        <v>0.85</v>
      </c>
      <c r="D35" t="n">
        <v>0.3</v>
      </c>
      <c r="E35" t="n">
        <v>56.5</v>
      </c>
    </row>
    <row r="36">
      <c r="A36" t="inlineStr">
        <is>
          <t>Flamingo Inn</t>
        </is>
      </c>
      <c r="B36" t="inlineStr"/>
      <c r="C36" t="n">
        <v>0.85</v>
      </c>
      <c r="D36" t="n">
        <v>0.3</v>
      </c>
      <c r="E36" t="n">
        <v>56.5</v>
      </c>
    </row>
    <row r="37">
      <c r="A37" t="inlineStr">
        <is>
          <t>Miami International Apartments by Lowkl</t>
        </is>
      </c>
      <c r="B37" t="inlineStr">
        <is>
          <t>Long-Term Owner | Old Property</t>
        </is>
      </c>
      <c r="C37" t="n">
        <v>0.65</v>
      </c>
      <c r="D37" t="n">
        <v>0.7</v>
      </c>
      <c r="E37" t="n">
        <v>55.6</v>
      </c>
    </row>
    <row r="38">
      <c r="A38" t="inlineStr">
        <is>
          <t>Crest Hotel Suites</t>
        </is>
      </c>
      <c r="B38" t="inlineStr"/>
      <c r="C38" t="n">
        <v>0.85</v>
      </c>
      <c r="D38" t="n">
        <v>0.3</v>
      </c>
      <c r="E38" t="n">
        <v>55.6</v>
      </c>
    </row>
    <row r="39">
      <c r="A39" t="inlineStr">
        <is>
          <t>Element by Marriott Fort Lauderdale Downtown</t>
        </is>
      </c>
      <c r="B39" t="inlineStr"/>
      <c r="C39" t="n">
        <v>0.7</v>
      </c>
      <c r="D39" t="n">
        <v>0.3</v>
      </c>
      <c r="E39" t="n">
        <v>55.5</v>
      </c>
    </row>
    <row r="40">
      <c r="A40" t="inlineStr">
        <is>
          <t>Kapp and Kappy B&amp;B</t>
        </is>
      </c>
      <c r="B40" t="inlineStr"/>
      <c r="C40" t="n">
        <v>0.85</v>
      </c>
      <c r="D40" t="n">
        <v>0.6</v>
      </c>
      <c r="E40" t="n">
        <v>53.5</v>
      </c>
    </row>
    <row r="41">
      <c r="A41" t="inlineStr">
        <is>
          <t>Fontainebleau Miami Beach Private Suites</t>
        </is>
      </c>
      <c r="B41" t="inlineStr"/>
      <c r="C41" t="n">
        <v>0.85</v>
      </c>
      <c r="D41" t="n">
        <v>0.3</v>
      </c>
      <c r="E41" t="n">
        <v>53.5</v>
      </c>
    </row>
    <row r="42">
      <c r="A42" t="inlineStr">
        <is>
          <t>Hotel Evernia</t>
        </is>
      </c>
      <c r="B42" t="inlineStr"/>
      <c r="C42" t="n">
        <v>0.85</v>
      </c>
      <c r="D42" t="n">
        <v>0.3</v>
      </c>
      <c r="E42" t="n">
        <v>53.5</v>
      </c>
    </row>
    <row r="43">
      <c r="A43" t="inlineStr">
        <is>
          <t>Casa Marina</t>
        </is>
      </c>
      <c r="B43" t="inlineStr"/>
      <c r="C43" t="n">
        <v>0.85</v>
      </c>
      <c r="D43" t="n">
        <v>0.3</v>
      </c>
      <c r="E43" t="n">
        <v>53.5</v>
      </c>
    </row>
    <row r="44">
      <c r="A44" t="inlineStr">
        <is>
          <t>Fairwind Hotel Miami</t>
        </is>
      </c>
      <c r="B44" t="inlineStr">
        <is>
          <t>Old Property</t>
        </is>
      </c>
      <c r="C44" t="n">
        <v>0.75</v>
      </c>
      <c r="D44" t="n">
        <v>0.3</v>
      </c>
      <c r="E44" t="n">
        <v>52.5</v>
      </c>
    </row>
    <row r="45">
      <c r="A45" t="inlineStr">
        <is>
          <t>Holiday Inn Miami Beach-Oceanfront by IHG</t>
        </is>
      </c>
      <c r="B45" t="inlineStr"/>
      <c r="C45" t="n">
        <v>0.65</v>
      </c>
      <c r="D45" t="n">
        <v>0.3</v>
      </c>
      <c r="E45" t="n">
        <v>50.4</v>
      </c>
    </row>
    <row r="46">
      <c r="A46" t="inlineStr">
        <is>
          <t>The Lofts On Clematis | Stay West Palm</t>
        </is>
      </c>
      <c r="B46" t="inlineStr"/>
      <c r="C46" t="n">
        <v>0.65</v>
      </c>
      <c r="D46" t="n">
        <v>0.3</v>
      </c>
      <c r="E46" t="n">
        <v>47.5</v>
      </c>
    </row>
    <row r="47">
      <c r="A47" t="inlineStr">
        <is>
          <t>Comfort Suites Miami Airport North</t>
        </is>
      </c>
      <c r="B47" t="inlineStr"/>
      <c r="C47" t="n">
        <v>0.65</v>
      </c>
      <c r="D47" t="n">
        <v>0.3</v>
      </c>
      <c r="E47" t="n">
        <v>46.6</v>
      </c>
    </row>
    <row r="48">
      <c r="A48" t="inlineStr">
        <is>
          <t>JW Marriott Marquis Miami</t>
        </is>
      </c>
      <c r="B48" t="inlineStr"/>
      <c r="C48" t="n">
        <v>0.55</v>
      </c>
      <c r="D48" t="n">
        <v>0.2</v>
      </c>
      <c r="E48" t="n">
        <v>45</v>
      </c>
    </row>
    <row r="49">
      <c r="A49" t="inlineStr">
        <is>
          <t>Hotel Continental Miami Beach, Tapestry Collection by Hilton</t>
        </is>
      </c>
      <c r="B49" t="inlineStr"/>
      <c r="C49" t="n">
        <v>0.45</v>
      </c>
      <c r="D49" t="n">
        <v>0.2</v>
      </c>
      <c r="E49" t="n">
        <v>45</v>
      </c>
    </row>
    <row r="50">
      <c r="A50" t="inlineStr">
        <is>
          <t>Henry's Piece Of Paradise</t>
        </is>
      </c>
      <c r="B50" t="inlineStr"/>
      <c r="C50" t="n">
        <v>0.65</v>
      </c>
      <c r="D50" t="n">
        <v>0.3</v>
      </c>
      <c r="E50" t="n">
        <v>44.5</v>
      </c>
    </row>
    <row r="51">
      <c r="A51" t="inlineStr">
        <is>
          <t>Cambria Hotel Orlando Universal Blvd</t>
        </is>
      </c>
      <c r="B51" t="inlineStr"/>
      <c r="C51" t="n">
        <v>0.6</v>
      </c>
      <c r="D51" t="n">
        <v>0.3</v>
      </c>
      <c r="E51" t="n">
        <v>44.5</v>
      </c>
    </row>
    <row r="52">
      <c r="A52" t="inlineStr">
        <is>
          <t>Hotel Beaux Arts, Autograph Collection</t>
        </is>
      </c>
      <c r="B52" t="inlineStr"/>
      <c r="C52" t="n">
        <v>0.65</v>
      </c>
      <c r="D52" t="n">
        <v>0.3</v>
      </c>
      <c r="E52" t="n">
        <v>44.5</v>
      </c>
    </row>
    <row r="53">
      <c r="A53" t="inlineStr">
        <is>
          <t>Miami Downtown Vacation Suites</t>
        </is>
      </c>
      <c r="B53" t="inlineStr"/>
      <c r="C53" t="n">
        <v>0.85</v>
      </c>
      <c r="D53" t="n">
        <v>0.3</v>
      </c>
      <c r="E53" t="n">
        <v>44.5</v>
      </c>
    </row>
    <row r="54">
      <c r="A54" t="inlineStr">
        <is>
          <t>YVE Hotel Miami</t>
        </is>
      </c>
      <c r="B54" t="inlineStr"/>
      <c r="C54" t="n">
        <v>0.65</v>
      </c>
      <c r="D54" t="n">
        <v>0.3</v>
      </c>
      <c r="E54" t="n">
        <v>44.5</v>
      </c>
    </row>
    <row r="55">
      <c r="A55" t="inlineStr">
        <is>
          <t>Comfort Inn &amp; Suites Downtown Brickell-Port of Miami</t>
        </is>
      </c>
      <c r="B55" t="inlineStr"/>
      <c r="C55" t="n">
        <v>0.55</v>
      </c>
      <c r="D55" t="n">
        <v>0.2</v>
      </c>
      <c r="E55" t="n">
        <v>44.4</v>
      </c>
    </row>
    <row r="56">
      <c r="A56" t="inlineStr">
        <is>
          <t>Dream South Beach, by Hyatt</t>
        </is>
      </c>
      <c r="B56" t="inlineStr"/>
      <c r="C56" t="n">
        <v>0.45</v>
      </c>
      <c r="D56" t="n">
        <v>0.2</v>
      </c>
      <c r="E56" t="n">
        <v>43.5</v>
      </c>
    </row>
    <row r="57">
      <c r="A57" t="inlineStr">
        <is>
          <t>The Marlin Hotel</t>
        </is>
      </c>
      <c r="B57" t="inlineStr">
        <is>
          <t>Old Property</t>
        </is>
      </c>
      <c r="C57" t="n">
        <v>0.55</v>
      </c>
      <c r="D57" t="n">
        <v>0.3</v>
      </c>
      <c r="E57" t="n">
        <v>42.6</v>
      </c>
    </row>
    <row r="58">
      <c r="A58" t="inlineStr">
        <is>
          <t>SureStay Plus By Best Western Orlando International Drive</t>
        </is>
      </c>
      <c r="B58" t="inlineStr"/>
      <c r="C58" t="n">
        <v>0.65</v>
      </c>
      <c r="D58" t="n">
        <v>0.3</v>
      </c>
      <c r="E58" t="n">
        <v>42.4</v>
      </c>
    </row>
    <row r="59">
      <c r="A59" t="inlineStr">
        <is>
          <t>Fairfield by Marriott Inn &amp; Suites Key West</t>
        </is>
      </c>
      <c r="B59" t="inlineStr"/>
      <c r="C59" t="n">
        <v>0.45</v>
      </c>
      <c r="D59" t="n">
        <v>0.2</v>
      </c>
      <c r="E59" t="n">
        <v>41.4</v>
      </c>
    </row>
    <row r="60">
      <c r="A60" t="inlineStr">
        <is>
          <t>Universal Endless Summer Resort – Surfside Inn and Suites</t>
        </is>
      </c>
      <c r="B60" t="inlineStr"/>
      <c r="C60" t="n">
        <v>0.55</v>
      </c>
      <c r="D60" t="n">
        <v>0.25</v>
      </c>
      <c r="E60" t="n">
        <v>40.6</v>
      </c>
    </row>
    <row r="61">
      <c r="A61" t="inlineStr">
        <is>
          <t>Albion Hotel</t>
        </is>
      </c>
      <c r="B61" t="inlineStr"/>
      <c r="C61" t="n">
        <v>0.55</v>
      </c>
      <c r="D61" t="n">
        <v>0.2</v>
      </c>
      <c r="E61" t="n">
        <v>40</v>
      </c>
    </row>
    <row r="62">
      <c r="A62" t="inlineStr">
        <is>
          <t>Andaz Miami Beach Resort &amp; Spa</t>
        </is>
      </c>
      <c r="B62" t="inlineStr"/>
      <c r="C62" t="n">
        <v>0.55</v>
      </c>
      <c r="D62" t="n">
        <v>0.3</v>
      </c>
      <c r="E62" t="n">
        <v>40</v>
      </c>
    </row>
    <row r="63">
      <c r="A63" t="inlineStr">
        <is>
          <t>Brickell Arch, a Luxury Collection Hotel, Miami</t>
        </is>
      </c>
      <c r="B63" t="inlineStr"/>
      <c r="C63" t="n">
        <v>0.55</v>
      </c>
      <c r="D63" t="n">
        <v>0.2</v>
      </c>
      <c r="E63" t="n">
        <v>40</v>
      </c>
    </row>
  </sheetData>
  <autoFilter ref="A1:E6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3" customWidth="1" min="2" max="2"/>
    <col width="9" customWidth="1" min="3" max="3"/>
    <col width="8" customWidth="1" min="4" max="4"/>
    <col width="29" customWidth="1" min="5" max="5"/>
  </cols>
  <sheetData>
    <row r="1">
      <c r="A1" t="inlineStr">
        <is>
          <t>Hotel</t>
        </is>
      </c>
      <c r="B1" t="inlineStr">
        <is>
          <t>Lead Score</t>
        </is>
      </c>
      <c r="C1" t="inlineStr">
        <is>
          <t>Status</t>
        </is>
      </c>
      <c r="D1" t="inlineStr">
        <is>
          <t>Notes</t>
        </is>
      </c>
      <c r="E1" t="inlineStr">
        <is>
          <t>Date First Surfaced</t>
        </is>
      </c>
    </row>
    <row r="2">
      <c r="A2" t="inlineStr">
        <is>
          <t>Casa Boutique Hotel</t>
        </is>
      </c>
      <c r="B2" t="n">
        <v>93.5</v>
      </c>
      <c r="C2" t="inlineStr"/>
      <c r="D2" t="inlineStr"/>
      <c r="E2" s="15" t="n">
        <v>46175.44024082858</v>
      </c>
    </row>
    <row r="3">
      <c r="A3" t="inlineStr">
        <is>
          <t>The Miami Beach</t>
        </is>
      </c>
      <c r="B3" t="n">
        <v>93.5</v>
      </c>
      <c r="C3" t="inlineStr"/>
      <c r="D3" t="inlineStr"/>
      <c r="E3" s="15" t="n">
        <v>46175.44024082858</v>
      </c>
    </row>
    <row r="4">
      <c r="A4" t="inlineStr">
        <is>
          <t>Best Western Plus Atlantic Beach Resort</t>
        </is>
      </c>
      <c r="B4" t="n">
        <v>89.5</v>
      </c>
      <c r="C4" t="inlineStr"/>
      <c r="D4" t="inlineStr"/>
      <c r="E4" s="15" t="n">
        <v>46175.614338486</v>
      </c>
    </row>
    <row r="5">
      <c r="A5" t="inlineStr">
        <is>
          <t>Four Points by Sheraton Orlando International Drive</t>
        </is>
      </c>
      <c r="B5" t="n">
        <v>83.5</v>
      </c>
      <c r="C5" t="inlineStr"/>
      <c r="D5" t="inlineStr"/>
      <c r="E5" s="15" t="n">
        <v>46175.614338486</v>
      </c>
    </row>
    <row r="6">
      <c r="A6" t="inlineStr">
        <is>
          <t>Clarion Inn &amp; Suites Miami International Airport</t>
        </is>
      </c>
      <c r="B6" t="n">
        <v>80.5</v>
      </c>
      <c r="C6" t="inlineStr"/>
      <c r="D6" t="inlineStr"/>
      <c r="E6" s="15" t="n">
        <v>46175.614338486</v>
      </c>
    </row>
    <row r="7">
      <c r="A7" t="inlineStr">
        <is>
          <t>Renzzi On The Beach</t>
        </is>
      </c>
      <c r="B7" t="n">
        <v>79.5</v>
      </c>
      <c r="C7" t="inlineStr"/>
      <c r="D7" t="inlineStr"/>
      <c r="E7" s="15" t="n">
        <v>46175.44024082858</v>
      </c>
    </row>
    <row r="8">
      <c r="A8" t="inlineStr">
        <is>
          <t>Kenmore Village Hotel</t>
        </is>
      </c>
      <c r="B8" t="n">
        <v>77.5</v>
      </c>
      <c r="C8" t="inlineStr"/>
      <c r="D8" t="inlineStr"/>
      <c r="E8" s="15" t="n">
        <v>46175.44024082858</v>
      </c>
    </row>
    <row r="9">
      <c r="A9" t="inlineStr">
        <is>
          <t>Cadillac Hotel &amp; Beach Club, Autograph Collection</t>
        </is>
      </c>
      <c r="B9" t="n">
        <v>75.5</v>
      </c>
      <c r="C9" t="inlineStr"/>
      <c r="D9" t="inlineStr"/>
      <c r="E9" s="15" t="n">
        <v>46175.614338486</v>
      </c>
    </row>
    <row r="10">
      <c r="A10" t="inlineStr">
        <is>
          <t>Days Inn by Wyndham Miami Airport North</t>
        </is>
      </c>
      <c r="B10" t="n">
        <v>74.5</v>
      </c>
      <c r="C10" t="inlineStr"/>
      <c r="D10" t="inlineStr"/>
      <c r="E10" s="15" t="n">
        <v>46175.614338486</v>
      </c>
    </row>
    <row r="11">
      <c r="A11" t="inlineStr">
        <is>
          <t>Hilton Miami Airport Blue Lagoon</t>
        </is>
      </c>
      <c r="B11" t="n">
        <v>74.5</v>
      </c>
      <c r="C11" t="inlineStr"/>
      <c r="D11" t="inlineStr"/>
      <c r="E11" s="15" t="n">
        <v>46175.614338486</v>
      </c>
    </row>
    <row r="12">
      <c r="A12" t="inlineStr">
        <is>
          <t>Ramada by Wyndham Miami Springs/Miami International Airport</t>
        </is>
      </c>
      <c r="B12" t="n">
        <v>74.5</v>
      </c>
      <c r="C12" t="inlineStr"/>
      <c r="D12" t="inlineStr"/>
      <c r="E12" s="15" t="n">
        <v>46175.614338486</v>
      </c>
    </row>
    <row r="13">
      <c r="A13" t="inlineStr">
        <is>
          <t>Secret Garden Miami Beach</t>
        </is>
      </c>
      <c r="B13" t="n">
        <v>72.5</v>
      </c>
      <c r="C13" t="inlineStr"/>
      <c r="D13" t="inlineStr"/>
      <c r="E13" s="15" t="n">
        <v>46175.614338486</v>
      </c>
    </row>
    <row r="14">
      <c r="A14" t="inlineStr">
        <is>
          <t>Trésor Tower</t>
        </is>
      </c>
      <c r="B14" t="n">
        <v>72.5</v>
      </c>
      <c r="C14" t="inlineStr"/>
      <c r="D14" t="inlineStr"/>
      <c r="E14" s="15" t="n">
        <v>46175.614338486</v>
      </c>
    </row>
    <row r="15">
      <c r="A15" t="inlineStr">
        <is>
          <t>Hyatt Centric South Beach Miami</t>
        </is>
      </c>
      <c r="B15" t="n">
        <v>71.5</v>
      </c>
      <c r="C15" t="inlineStr"/>
      <c r="D15" t="inlineStr"/>
      <c r="E15" s="15" t="n">
        <v>46175.614338486</v>
      </c>
    </row>
    <row r="16">
      <c r="A16" t="inlineStr">
        <is>
          <t>Roami at The Carmela</t>
        </is>
      </c>
      <c r="B16" t="n">
        <v>70.40000000000001</v>
      </c>
      <c r="C16" t="inlineStr"/>
      <c r="D16" t="inlineStr"/>
      <c r="E16" s="15" t="n">
        <v>46175.614338486</v>
      </c>
    </row>
    <row r="17">
      <c r="A17" t="inlineStr">
        <is>
          <t>Miami International Airport Hotel</t>
        </is>
      </c>
      <c r="B17" t="n">
        <v>69.5</v>
      </c>
      <c r="C17" t="inlineStr"/>
      <c r="D17" t="inlineStr"/>
      <c r="E17" s="15" t="n">
        <v>46175.614338486</v>
      </c>
    </row>
    <row r="18">
      <c r="A18" t="inlineStr">
        <is>
          <t>Casa Marina Key West, Curio Collection by Hilton</t>
        </is>
      </c>
      <c r="B18" t="n">
        <v>68.5</v>
      </c>
      <c r="C18" t="inlineStr"/>
      <c r="D18" t="inlineStr"/>
      <c r="E18" s="15" t="n">
        <v>46175.614338486</v>
      </c>
    </row>
    <row r="19">
      <c r="A19" t="inlineStr">
        <is>
          <t>Notebook Hotel</t>
        </is>
      </c>
      <c r="B19" t="n">
        <v>68.5</v>
      </c>
      <c r="C19" t="inlineStr"/>
      <c r="D19" t="inlineStr"/>
      <c r="E19" s="15" t="n">
        <v>46175.614338486</v>
      </c>
    </row>
    <row r="20">
      <c r="A20" t="inlineStr">
        <is>
          <t>Sleep Inn Miami Airport</t>
        </is>
      </c>
      <c r="B20" t="n">
        <v>68.5</v>
      </c>
      <c r="C20" t="inlineStr"/>
      <c r="D20" t="inlineStr"/>
      <c r="E20" s="15" t="n">
        <v>46175.614338486</v>
      </c>
    </row>
    <row r="21">
      <c r="A21" t="inlineStr">
        <is>
          <t>West Palm Beach Marriott</t>
        </is>
      </c>
      <c r="B21" t="n">
        <v>68.5</v>
      </c>
      <c r="C21" t="inlineStr"/>
      <c r="D21" t="inlineStr"/>
      <c r="E21" s="15" t="n">
        <v>46175.614338486</v>
      </c>
    </row>
    <row r="22">
      <c r="A22" t="inlineStr">
        <is>
          <t>James Hotel</t>
        </is>
      </c>
      <c r="B22" t="n">
        <v>66.5</v>
      </c>
      <c r="C22" t="inlineStr"/>
      <c r="D22" t="inlineStr"/>
      <c r="E22" s="15" t="n">
        <v>46175.614338486</v>
      </c>
    </row>
    <row r="23">
      <c r="A23" t="inlineStr">
        <is>
          <t>lowes hotel</t>
        </is>
      </c>
      <c r="B23" t="n">
        <v>63.5</v>
      </c>
      <c r="C23" t="inlineStr"/>
      <c r="D23" t="inlineStr"/>
      <c r="E23" s="15" t="n">
        <v>46175.614338486</v>
      </c>
    </row>
    <row r="24">
      <c r="A24" t="inlineStr">
        <is>
          <t>La Mare Hotel and Residence</t>
        </is>
      </c>
      <c r="B24" t="n">
        <v>63.5</v>
      </c>
      <c r="C24" t="inlineStr"/>
      <c r="D24" t="inlineStr"/>
      <c r="E24" s="15" t="n">
        <v>46175.614338486</v>
      </c>
    </row>
    <row r="25">
      <c r="A25" t="inlineStr">
        <is>
          <t>Lambert Inn</t>
        </is>
      </c>
      <c r="B25" t="n">
        <v>63.5</v>
      </c>
      <c r="C25" t="inlineStr"/>
      <c r="D25" t="inlineStr"/>
      <c r="E25" s="15" t="n">
        <v>46175.614338486</v>
      </c>
    </row>
    <row r="26">
      <c r="A26" t="inlineStr">
        <is>
          <t>The Kent Hotel</t>
        </is>
      </c>
      <c r="B26" t="n">
        <v>61.6</v>
      </c>
      <c r="C26" t="inlineStr"/>
      <c r="D26" t="inlineStr"/>
      <c r="E26" s="15" t="n">
        <v>46175.44024082858</v>
      </c>
    </row>
    <row r="27">
      <c r="A27" t="inlineStr">
        <is>
          <t>Motel 6 Orlando, FL - International Dr</t>
        </is>
      </c>
      <c r="B27" t="n">
        <v>61.5</v>
      </c>
      <c r="C27" t="inlineStr"/>
      <c r="D27" t="inlineStr"/>
      <c r="E27" s="15" t="n">
        <v>46175.614338486</v>
      </c>
    </row>
    <row r="28">
      <c r="A28" t="inlineStr">
        <is>
          <t>Sorrento Tower</t>
        </is>
      </c>
      <c r="B28" t="n">
        <v>60.5</v>
      </c>
      <c r="C28" t="inlineStr"/>
      <c r="D28" t="inlineStr"/>
      <c r="E28" s="15" t="n">
        <v>46175.614338486</v>
      </c>
    </row>
    <row r="29">
      <c r="A29" t="inlineStr">
        <is>
          <t>Dua Miami, Autograph Collection</t>
        </is>
      </c>
      <c r="B29" t="n">
        <v>60.5</v>
      </c>
      <c r="C29" t="inlineStr"/>
      <c r="D29" t="inlineStr"/>
      <c r="E29" s="15" t="n">
        <v>46175.614338486</v>
      </c>
    </row>
    <row r="30">
      <c r="A30" t="inlineStr">
        <is>
          <t>Tru by Hilton Miami Airport South Blue Lagoon</t>
        </is>
      </c>
      <c r="B30" t="n">
        <v>60.4</v>
      </c>
      <c r="C30" t="inlineStr"/>
      <c r="D30" t="inlineStr"/>
      <c r="E30" s="15" t="n">
        <v>46175.614338486</v>
      </c>
    </row>
    <row r="31">
      <c r="A31" t="inlineStr">
        <is>
          <t>Extended Stay America Premier Suites- Miami - Airport - Miami Springs</t>
        </is>
      </c>
      <c r="B31" t="n">
        <v>59.5</v>
      </c>
      <c r="C31" t="inlineStr"/>
      <c r="D31" t="inlineStr"/>
      <c r="E31" s="15" t="n">
        <v>46175.614338486</v>
      </c>
    </row>
    <row r="32">
      <c r="A32" t="inlineStr">
        <is>
          <t>Leamington Hotel</t>
        </is>
      </c>
      <c r="B32" t="n">
        <v>59.5</v>
      </c>
      <c r="C32" t="inlineStr"/>
      <c r="D32" t="inlineStr"/>
      <c r="E32" s="15" t="n">
        <v>46175.614338486</v>
      </c>
    </row>
    <row r="33">
      <c r="A33" t="inlineStr">
        <is>
          <t>Lexington by Hotel RL Miami Beach</t>
        </is>
      </c>
      <c r="B33" t="n">
        <v>58.6</v>
      </c>
      <c r="C33" t="inlineStr"/>
      <c r="D33" t="inlineStr"/>
      <c r="E33" s="15" t="n">
        <v>46175.614338486</v>
      </c>
    </row>
    <row r="34">
      <c r="A34" t="inlineStr">
        <is>
          <t>Viscay Hotel</t>
        </is>
      </c>
      <c r="B34" t="n">
        <v>58.6</v>
      </c>
      <c r="C34" t="inlineStr"/>
      <c r="D34" t="inlineStr"/>
      <c r="E34" s="15" t="n">
        <v>46175.44024082858</v>
      </c>
    </row>
    <row r="35">
      <c r="A35" t="inlineStr">
        <is>
          <t>Super 8 by Wyndham Orlando International Drive</t>
        </is>
      </c>
      <c r="B35" t="n">
        <v>56.5</v>
      </c>
      <c r="C35" t="inlineStr"/>
      <c r="D35" t="inlineStr"/>
      <c r="E35" s="15" t="n">
        <v>46175.614338486</v>
      </c>
    </row>
    <row r="36">
      <c r="A36" t="inlineStr">
        <is>
          <t>Flamingo Inn</t>
        </is>
      </c>
      <c r="B36" t="n">
        <v>56.5</v>
      </c>
      <c r="C36" t="inlineStr"/>
      <c r="D36" t="inlineStr"/>
      <c r="E36" s="15" t="n">
        <v>46175.614338486</v>
      </c>
    </row>
    <row r="37">
      <c r="A37" t="inlineStr">
        <is>
          <t>Miami International Apartments by Lowkl</t>
        </is>
      </c>
      <c r="B37" t="n">
        <v>55.6</v>
      </c>
      <c r="C37" t="inlineStr"/>
      <c r="D37" t="inlineStr"/>
      <c r="E37" s="15" t="n">
        <v>46175.44024082858</v>
      </c>
    </row>
    <row r="38">
      <c r="A38" t="inlineStr">
        <is>
          <t>Crest Hotel Suites</t>
        </is>
      </c>
      <c r="B38" t="n">
        <v>55.6</v>
      </c>
      <c r="C38" t="inlineStr"/>
      <c r="D38" t="inlineStr"/>
      <c r="E38" s="15" t="n">
        <v>46175.614338486</v>
      </c>
    </row>
    <row r="39">
      <c r="A39" t="inlineStr">
        <is>
          <t>Element by Marriott Fort Lauderdale Downtown</t>
        </is>
      </c>
      <c r="B39" t="n">
        <v>55.5</v>
      </c>
      <c r="C39" t="inlineStr"/>
      <c r="D39" t="inlineStr"/>
      <c r="E39" s="15" t="n">
        <v>46175.614338486</v>
      </c>
    </row>
    <row r="40">
      <c r="A40" t="inlineStr">
        <is>
          <t>Kapp and Kappy B&amp;B</t>
        </is>
      </c>
      <c r="B40" t="n">
        <v>53.5</v>
      </c>
      <c r="C40" t="inlineStr"/>
      <c r="D40" t="inlineStr"/>
      <c r="E40" s="15" t="n">
        <v>46175.614338486</v>
      </c>
    </row>
    <row r="41">
      <c r="A41" t="inlineStr">
        <is>
          <t>Fontainebleau Miami Beach Private Suites</t>
        </is>
      </c>
      <c r="B41" t="n">
        <v>53.5</v>
      </c>
      <c r="C41" t="inlineStr"/>
      <c r="D41" t="inlineStr"/>
      <c r="E41" s="15" t="n">
        <v>46175.614338486</v>
      </c>
    </row>
    <row r="42">
      <c r="A42" t="inlineStr">
        <is>
          <t>Hotel Evernia</t>
        </is>
      </c>
      <c r="B42" t="n">
        <v>53.5</v>
      </c>
      <c r="C42" t="inlineStr"/>
      <c r="D42" t="inlineStr"/>
      <c r="E42" s="15" t="n">
        <v>46175.614338486</v>
      </c>
    </row>
    <row r="43">
      <c r="A43" t="inlineStr">
        <is>
          <t>Casa Marina</t>
        </is>
      </c>
      <c r="B43" t="n">
        <v>53.5</v>
      </c>
      <c r="C43" t="inlineStr"/>
      <c r="D43" t="inlineStr"/>
      <c r="E43" s="15" t="n">
        <v>46175.614338486</v>
      </c>
    </row>
    <row r="44">
      <c r="A44" t="inlineStr">
        <is>
          <t>Fairwind Hotel Miami</t>
        </is>
      </c>
      <c r="B44" t="n">
        <v>52.5</v>
      </c>
      <c r="C44" t="inlineStr"/>
      <c r="D44" t="inlineStr"/>
      <c r="E44" s="15" t="n">
        <v>46175.44024082858</v>
      </c>
    </row>
    <row r="45">
      <c r="A45" t="inlineStr">
        <is>
          <t>Holiday Inn Miami Beach-Oceanfront by IHG</t>
        </is>
      </c>
      <c r="B45" t="n">
        <v>50.4</v>
      </c>
      <c r="C45" t="inlineStr"/>
      <c r="D45" t="inlineStr"/>
      <c r="E45" s="15" t="n">
        <v>46175.614338486</v>
      </c>
    </row>
    <row r="46">
      <c r="A46" t="inlineStr">
        <is>
          <t>The Lofts On Clematis | Stay West Palm</t>
        </is>
      </c>
      <c r="B46" t="n">
        <v>47.5</v>
      </c>
      <c r="C46" t="inlineStr"/>
      <c r="D46" t="inlineStr"/>
      <c r="E46" s="15" t="n">
        <v>46175.614338486</v>
      </c>
    </row>
    <row r="47">
      <c r="A47" t="inlineStr">
        <is>
          <t>Comfort Suites Miami Airport North</t>
        </is>
      </c>
      <c r="B47" t="n">
        <v>46.6</v>
      </c>
      <c r="C47" t="inlineStr"/>
      <c r="D47" t="inlineStr"/>
      <c r="E47" s="15" t="n">
        <v>46175.614338486</v>
      </c>
    </row>
    <row r="48">
      <c r="A48" t="inlineStr">
        <is>
          <t>JW Marriott Marquis Miami</t>
        </is>
      </c>
      <c r="B48" t="n">
        <v>45</v>
      </c>
      <c r="C48" t="inlineStr"/>
      <c r="D48" t="inlineStr"/>
      <c r="E48" s="15" t="n">
        <v>46175.614338486</v>
      </c>
    </row>
    <row r="49">
      <c r="A49" t="inlineStr">
        <is>
          <t>Hotel Continental Miami Beach, Tapestry Collection by Hilton</t>
        </is>
      </c>
      <c r="B49" t="n">
        <v>45</v>
      </c>
      <c r="C49" t="inlineStr"/>
      <c r="D49" t="inlineStr"/>
      <c r="E49" s="15" t="n">
        <v>46175.614338486</v>
      </c>
    </row>
    <row r="50">
      <c r="A50" t="inlineStr">
        <is>
          <t>Henry's Piece Of Paradise</t>
        </is>
      </c>
      <c r="B50" t="n">
        <v>44.5</v>
      </c>
      <c r="C50" t="inlineStr"/>
      <c r="D50" t="inlineStr"/>
      <c r="E50" s="15" t="n">
        <v>46175.614338486</v>
      </c>
    </row>
    <row r="51">
      <c r="A51" t="inlineStr">
        <is>
          <t>Cambria Hotel Orlando Universal Blvd</t>
        </is>
      </c>
      <c r="B51" t="n">
        <v>44.5</v>
      </c>
      <c r="C51" t="inlineStr"/>
      <c r="D51" t="inlineStr"/>
      <c r="E51" s="15" t="n">
        <v>46175.614338486</v>
      </c>
    </row>
    <row r="52">
      <c r="A52" t="inlineStr">
        <is>
          <t>Hotel Beaux Arts, Autograph Collection</t>
        </is>
      </c>
      <c r="B52" t="n">
        <v>44.5</v>
      </c>
      <c r="C52" t="inlineStr"/>
      <c r="D52" t="inlineStr"/>
      <c r="E52" s="15" t="n">
        <v>46175.614338486</v>
      </c>
    </row>
    <row r="53">
      <c r="A53" t="inlineStr">
        <is>
          <t>Miami Downtown Vacation Suites</t>
        </is>
      </c>
      <c r="B53" t="n">
        <v>44.5</v>
      </c>
      <c r="C53" t="inlineStr"/>
      <c r="D53" t="inlineStr"/>
      <c r="E53" s="15" t="n">
        <v>46175.614338486</v>
      </c>
    </row>
    <row r="54">
      <c r="A54" t="inlineStr">
        <is>
          <t>YVE Hotel Miami</t>
        </is>
      </c>
      <c r="B54" t="n">
        <v>44.5</v>
      </c>
      <c r="C54" t="inlineStr"/>
      <c r="D54" t="inlineStr"/>
      <c r="E54" s="15" t="n">
        <v>46175.614338486</v>
      </c>
    </row>
    <row r="55">
      <c r="A55" t="inlineStr">
        <is>
          <t>Comfort Inn &amp; Suites Downtown Brickell-Port of Miami</t>
        </is>
      </c>
      <c r="B55" t="n">
        <v>44.4</v>
      </c>
      <c r="C55" t="inlineStr"/>
      <c r="D55" t="inlineStr"/>
      <c r="E55" s="15" t="n">
        <v>46175.614338486</v>
      </c>
    </row>
    <row r="56">
      <c r="A56" t="inlineStr">
        <is>
          <t>Dream South Beach, by Hyatt</t>
        </is>
      </c>
      <c r="B56" t="n">
        <v>43.5</v>
      </c>
      <c r="C56" t="inlineStr"/>
      <c r="D56" t="inlineStr"/>
      <c r="E56" s="15" t="n">
        <v>46175.44024082858</v>
      </c>
    </row>
    <row r="57">
      <c r="A57" t="inlineStr">
        <is>
          <t>The Marlin Hotel</t>
        </is>
      </c>
      <c r="B57" t="n">
        <v>42.6</v>
      </c>
      <c r="C57" t="inlineStr"/>
      <c r="D57" t="inlineStr"/>
      <c r="E57" s="15" t="n">
        <v>46175.44024082858</v>
      </c>
    </row>
    <row r="58">
      <c r="A58" t="inlineStr">
        <is>
          <t>SureStay Plus By Best Western Orlando International Drive</t>
        </is>
      </c>
      <c r="B58" t="n">
        <v>42.4</v>
      </c>
      <c r="C58" t="inlineStr"/>
      <c r="D58" t="inlineStr"/>
      <c r="E58" s="15" t="n">
        <v>46175.614338486</v>
      </c>
    </row>
    <row r="59">
      <c r="A59" t="inlineStr">
        <is>
          <t>Fairfield by Marriott Inn &amp; Suites Key West</t>
        </is>
      </c>
      <c r="B59" t="n">
        <v>41.4</v>
      </c>
      <c r="C59" t="inlineStr"/>
      <c r="D59" t="inlineStr"/>
      <c r="E59" s="15" t="n">
        <v>46175.614338486</v>
      </c>
    </row>
    <row r="60">
      <c r="A60" t="inlineStr">
        <is>
          <t>Universal Endless Summer Resort – Surfside Inn and Suites</t>
        </is>
      </c>
      <c r="B60" t="n">
        <v>40.6</v>
      </c>
      <c r="C60" t="inlineStr"/>
      <c r="D60" t="inlineStr"/>
      <c r="E60" s="15" t="n">
        <v>46175.614338486</v>
      </c>
    </row>
    <row r="61">
      <c r="A61" t="inlineStr">
        <is>
          <t>Albion Hotel</t>
        </is>
      </c>
      <c r="B61" t="n">
        <v>40</v>
      </c>
      <c r="C61" t="inlineStr"/>
      <c r="D61" t="inlineStr"/>
      <c r="E61" s="15" t="n">
        <v>46175.614338486</v>
      </c>
    </row>
    <row r="62">
      <c r="A62" t="inlineStr">
        <is>
          <t>Andaz Miami Beach Resort &amp; Spa</t>
        </is>
      </c>
      <c r="B62" t="n">
        <v>40</v>
      </c>
      <c r="C62" t="inlineStr"/>
      <c r="D62" t="inlineStr"/>
      <c r="E62" s="15" t="n">
        <v>46175.614338486</v>
      </c>
    </row>
    <row r="63">
      <c r="A63" t="inlineStr">
        <is>
          <t>Brickell Arch, a Luxury Collection Hotel, Miami</t>
        </is>
      </c>
      <c r="B63" t="n">
        <v>40</v>
      </c>
      <c r="C63" t="inlineStr"/>
      <c r="D63" t="inlineStr"/>
      <c r="E63" s="15" t="n">
        <v>46175.614338486</v>
      </c>
    </row>
  </sheetData>
  <autoFilter ref="A1:E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2026-06-02T18:09:05Z</dcterms:created>
  <dcterms:modified xmlns:dcterms="http://purl.org/dc/terms/" xmlns:xsi="http://www.w3.org/2001/XMLSchema-instance" xsi:type="dcterms:W3CDTF">2026-06-02T18:09:05Z</dcterms:modified>
</cp:coreProperties>
</file>